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1 References" sheetId="2" state="visible" r:id="rId4"/>
    <sheet name="2 SUM" sheetId="3" state="visible" r:id="rId5"/>
    <sheet name="3 Arithmetic" sheetId="4" state="visible" r:id="rId6"/>
    <sheet name="4 COUNTIF" sheetId="5" state="visible" r:id="rId7"/>
    <sheet name="5 SUMIF" sheetId="6" state="visible" r:id="rId8"/>
    <sheet name="6 VLOOKUP" sheetId="7" state="visible" r:id="rId9"/>
    <sheet name="7 IF" sheetId="8" state="visible" r:id="rId10"/>
    <sheet name="8 IFERROR" sheetId="9" state="visible" r:id="rId11"/>
    <sheet name="9 AVERAGE MIN MAX" sheetId="10" state="visible" r:id="rId12"/>
    <sheet name="10 STDEVP CV" sheetId="11" state="visible" r:id="rId13"/>
    <sheet name="11 Share of total" sheetId="12" state="visible" r:id="rId14"/>
    <sheet name="12 Target lab" sheetId="13" state="visible" r:id="rId15"/>
    <sheet name="13 Excel tools" sheetId="14" state="visible" r:id="rId16"/>
    <sheet name="Cheat shee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<sst xmlns="http://schemas.openxmlformats.org/spreadsheetml/2006/main" count="805" uniqueCount="451">
  <si>
    <t xml:space="preserve">Excel formulas learning guide</t>
  </si>
  <si>
    <t xml:space="preserve">Every formula used in the Territory Builder Excel sheets, explained step by step with real brick data. Territory Builder · Khaled Tolba</t>
  </si>
  <si>
    <t xml:space="preserve">https://drkhaledtolba.github.io/territory-builder/</t>
  </si>
  <si>
    <t xml:space="preserve">How to use this guide</t>
  </si>
  <si>
    <t xml:space="preserve">1. Go through the lessons in order. Each lesson builds on the one before.</t>
  </si>
  <si>
    <t xml:space="preserve">2. Each lesson has: what the function does, its parts, where the site uses it, live examples with real IMS bricks, and an exercise.</t>
  </si>
  <si>
    <t xml:space="preserve">3. Yellow cells are for you to type in. Next to each exercise a check cell tells you if your answer is right.</t>
  </si>
  <si>
    <t xml:space="preserve">4. Click any cell in the green "Result" column and look at the formula bar at the top of Excel to see the live formula.</t>
  </si>
  <si>
    <t xml:space="preserve">5. Example rep and manager names (Sara, Omar…) are made up for practice; the geo share numbers are the real IMS ones.</t>
  </si>
  <si>
    <t xml:space="preserve">#</t>
  </si>
  <si>
    <t xml:space="preserve">Lesson</t>
  </si>
  <si>
    <t xml:space="preserve">What you will learn</t>
  </si>
  <si>
    <t xml:space="preserve">Level</t>
  </si>
  <si>
    <t xml:space="preserve">Cell references and $</t>
  </si>
  <si>
    <t xml:space="preserve">How A1, $A$1 and 'Sheet name'!A1 work: the base of every formula</t>
  </si>
  <si>
    <t xml:space="preserve">Basic</t>
  </si>
  <si>
    <t xml:space="preserve">SUM</t>
  </si>
  <si>
    <t xml:space="preserve">Add up a range: totals of geo share, targets and units</t>
  </si>
  <si>
    <t xml:space="preserve">Arithmetic and %</t>
  </si>
  <si>
    <t xml:space="preserve">+ − × ÷, brackets and percentages: price × units, share of total</t>
  </si>
  <si>
    <t xml:space="preserve">COUNTIF</t>
  </si>
  <si>
    <t xml:space="preserve">Count rows that match: how many 148 bricks in a 70 brick, how many reps per DM</t>
  </si>
  <si>
    <t xml:space="preserve">SUMIF</t>
  </si>
  <si>
    <t xml:space="preserve">Add up only matching rows: a rep's geo share, a DM's target</t>
  </si>
  <si>
    <t xml:space="preserve">Intermediate</t>
  </si>
  <si>
    <t xml:space="preserve">VLOOKUP</t>
  </si>
  <si>
    <t xml:space="preserve">Fetch a value from another table: a brick's potentiality from Brick data</t>
  </si>
  <si>
    <t xml:space="preserve">IF</t>
  </si>
  <si>
    <t xml:space="preserve">Make a decision: show a value only when something is true</t>
  </si>
  <si>
    <t xml:space="preserve">IFERROR</t>
  </si>
  <si>
    <t xml:space="preserve">Replace an error (#N/A, #DIV/0!) with a clean value</t>
  </si>
  <si>
    <t xml:space="preserve">AVERAGE, MIN, MAX</t>
  </si>
  <si>
    <t xml:space="preserve">Average, lowest and highest rep share</t>
  </si>
  <si>
    <t xml:space="preserve">STDEVP and CV</t>
  </si>
  <si>
    <t xml:space="preserve">Measure how balanced the reps are (the "Balance (spread)" number)</t>
  </si>
  <si>
    <t xml:space="preserve">Advanced</t>
  </si>
  <si>
    <t xml:space="preserve">Share of a total</t>
  </si>
  <si>
    <t xml:space="preserve">Turn raw numbers into shares that add up to 100%</t>
  </si>
  <si>
    <t xml:space="preserve">Target formula lab</t>
  </si>
  <si>
    <t xml:space="preserve">Put it all together: the full weighted target calculation</t>
  </si>
  <si>
    <t xml:space="preserve">Formats, filters, freeze, colours</t>
  </si>
  <si>
    <t xml:space="preserve">Number formats (0.00, #,##0, +0%), filters, freeze panes, conditional colours</t>
  </si>
  <si>
    <t xml:space="preserve">★</t>
  </si>
  <si>
    <t xml:space="preserve">Cheat sheet</t>
  </si>
  <si>
    <t xml:space="preserve">All functions on one page to keep next to you</t>
  </si>
  <si>
    <t xml:space="preserve">Reference</t>
  </si>
  <si>
    <t xml:space="preserve">Where the site uses these formulas</t>
  </si>
  <si>
    <t xml:space="preserve">Downloaded file</t>
  </si>
  <si>
    <t xml:space="preserve">Functions inside</t>
  </si>
  <si>
    <t xml:space="preserve">IMS brick sheet (IMS bricks &amp; geo share tab)</t>
  </si>
  <si>
    <t xml:space="preserve">SUM, COUNTIF, SUMIF</t>
  </si>
  <si>
    <t xml:space="preserve">Structure report (Save, export &amp; share)</t>
  </si>
  <si>
    <t xml:space="preserve">SUM, number formats, coloured % vs target</t>
  </si>
  <si>
    <t xml:space="preserve">Target sheet (Target setting tab)</t>
  </si>
  <si>
    <t xml:space="preserve">SUM, SUMIF, VLOOKUP, IF, IFERROR, arithmetic, shares, $ references, cross-sheet references</t>
  </si>
  <si>
    <t xml:space="preserve">Territory data template</t>
  </si>
  <si>
    <t xml:space="preserve">Zones workbook</t>
  </si>
  <si>
    <t xml:space="preserve">SUM, COUNTIF, SUMIF, AVERAGE, MIN, MAX, STDEVP</t>
  </si>
  <si>
    <t xml:space="preserve">Lesson 1 · Cell references and $</t>
  </si>
  <si>
    <t xml:space="preserve">Every formula points to cells. Knowing how to point is the most important skill.</t>
  </si>
  <si>
    <t xml:space="preserve">← Back to Start</t>
  </si>
  <si>
    <t xml:space="preserve">What it is</t>
  </si>
  <si>
    <t xml:space="preserve">A cell reference is the address of a cell: column letter + row number. B5 means column B, row 5. A range is a block of cells written first:last, e.g. D8:D25 means every cell from D8 down to D25.</t>
  </si>
  <si>
    <t xml:space="preserve">When you copy a formula down, Excel shifts the references (relative reference). Put a $ in front to lock it (absolute reference): $D$27 never moves. $D27 locks only the column, D$27 only the row. Press F4 while typing a reference to cycle through these.</t>
  </si>
  <si>
    <t xml:space="preserve">To point to another tab, write the tab name then !: Summary!D6. If the tab name has a space, wrap it in single quotes: 'Brick data'!C5.</t>
  </si>
  <si>
    <t xml:space="preserve">Where the site uses it</t>
  </si>
  <si>
    <t xml:space="preserve">Target sheet → Rep calculation: =Summary!$D$6*K2 multiplies each rep's weighted share (K2, moves as you copy down) by the product target on the Summary tab ($D$6, locked so every rep uses the same target).</t>
  </si>
  <si>
    <t xml:space="preserve">Live example: real Alex &amp; Behera bricks</t>
  </si>
  <si>
    <t xml:space="preserve">70 Brick</t>
  </si>
  <si>
    <t xml:space="preserve">148 Brick</t>
  </si>
  <si>
    <t xml:space="preserve">Geo share %</t>
  </si>
  <si>
    <t xml:space="preserve">Share of total (copy-down ready)</t>
  </si>
  <si>
    <t xml:space="preserve">ALEX EAST I</t>
  </si>
  <si>
    <t xml:space="preserve">East Alex 1</t>
  </si>
  <si>
    <t xml:space="preserve">East Alex 2</t>
  </si>
  <si>
    <t xml:space="preserve">ALEX EAST II</t>
  </si>
  <si>
    <t xml:space="preserve">East Alex 3</t>
  </si>
  <si>
    <t xml:space="preserve">ALEX EAST III</t>
  </si>
  <si>
    <t xml:space="preserve">East Alex 4</t>
  </si>
  <si>
    <t xml:space="preserve">East Alex 5</t>
  </si>
  <si>
    <t xml:space="preserve">ALEX CENTER I</t>
  </si>
  <si>
    <t xml:space="preserve">Alex Center 1</t>
  </si>
  <si>
    <t xml:space="preserve">ALEX CENTER II</t>
  </si>
  <si>
    <t xml:space="preserve">Alex Center 2</t>
  </si>
  <si>
    <t xml:space="preserve">ALEX WEST I</t>
  </si>
  <si>
    <t xml:space="preserve">Alex West 1</t>
  </si>
  <si>
    <t xml:space="preserve">Alex West 2</t>
  </si>
  <si>
    <t xml:space="preserve">A.WEST II/MATROUH</t>
  </si>
  <si>
    <t xml:space="preserve">Alex West / Marsa Matrouh 1</t>
  </si>
  <si>
    <t xml:space="preserve">Alex West / Marsa Matrouh 2</t>
  </si>
  <si>
    <t xml:space="preserve">BEHERA I</t>
  </si>
  <si>
    <t xml:space="preserve">Behera 1</t>
  </si>
  <si>
    <t xml:space="preserve">BEHERA II</t>
  </si>
  <si>
    <t xml:space="preserve">Behera 2</t>
  </si>
  <si>
    <t xml:space="preserve">Behera 3</t>
  </si>
  <si>
    <t xml:space="preserve">Behera 4</t>
  </si>
  <si>
    <t xml:space="preserve">BEHERA III</t>
  </si>
  <si>
    <t xml:space="preserve">Behera 5</t>
  </si>
  <si>
    <t xml:space="preserve">Behera 6</t>
  </si>
  <si>
    <t xml:space="preserve">Total</t>
  </si>
  <si>
    <t xml:space="preserve">Click F15, then F16: the formula changes from D15/$D$33 to D16/$D$33. D moved down one row, $D$33 stayed. That is exactly why the $ is needed: without it the second row would divide by D34, an empty cell, and give #DIV/0!.</t>
  </si>
  <si>
    <t xml:space="preserve">Try it yourself</t>
  </si>
  <si>
    <t xml:space="preserve">In the yellow cell, type a formula that returns the geo share of the 3rd brick in the table (cell D17) divided by the total in D33.</t>
  </si>
  <si>
    <t xml:space="preserve">Your formula →</t>
  </si>
  <si>
    <t xml:space="preserve">Hint: Start with =, then click the brick's geo share cell, type /, then click the total cell. Result is a decimal like 0.06.</t>
  </si>
  <si>
    <t xml:space="preserve">Common mistakes</t>
  </si>
  <si>
    <t xml:space="preserve">•  Forgetting the $ on a total or a setting cell, then copying the formula down: every row after the first breaks.</t>
  </si>
  <si>
    <t xml:space="preserve">•  Writing Brick data!C5 without quotes: tab names with spaces need 'Brick data'!C5.</t>
  </si>
  <si>
    <t xml:space="preserve">•  Typing a number into a formula (=D8*0.5) instead of pointing to the cell that holds it: when the number changes, the formula does not.</t>
  </si>
  <si>
    <t xml:space="preserve">Lesson 2 · SUM</t>
  </si>
  <si>
    <t xml:space="preserve">Adds numbers together. The most used function in every sheet of the site.</t>
  </si>
  <si>
    <t xml:space="preserve">What it does</t>
  </si>
  <si>
    <t xml:space="preserve">SUM adds all the numbers in one or more ranges. Empty cells and text are ignored.</t>
  </si>
  <si>
    <t xml:space="preserve">Syntax</t>
  </si>
  <si>
    <t xml:space="preserve">=SUM(number1, [number2], …)</t>
  </si>
  <si>
    <t xml:space="preserve">Part</t>
  </si>
  <si>
    <t xml:space="preserve">What to put there</t>
  </si>
  <si>
    <t xml:space="preserve">number1</t>
  </si>
  <si>
    <t xml:space="preserve">A cell, a range like D8:D25, or a number.</t>
  </si>
  <si>
    <t xml:space="preserve">[number2]…</t>
  </si>
  <si>
    <t xml:space="preserve">Optional. More cells or ranges, separated by commas: =SUM(D8:D12, D20:D25).</t>
  </si>
  <si>
    <t xml:space="preserve">IMS brick sheet → 148 Bricks: the TOTAL row is =SUM(E2:E149), the national geo share (100%). Target sheet → Summary: TOTAL TARGET =SUM(D6:D7) adds the product targets.</t>
  </si>
  <si>
    <t xml:space="preserve">Live example</t>
  </si>
  <si>
    <t xml:space="preserve">Example</t>
  </si>
  <si>
    <t xml:space="preserve">Formula (as you type it)</t>
  </si>
  <si>
    <t xml:space="preserve">Total geo share of Alex &amp; Behera</t>
  </si>
  <si>
    <t xml:space="preserve">=SUM(D19:D35)</t>
  </si>
  <si>
    <t xml:space="preserve">Only the Alexandria bricks (first 12 rows)</t>
  </si>
  <si>
    <t xml:space="preserve">=SUM(D19:D30)</t>
  </si>
  <si>
    <t xml:space="preserve">Two separate blocks</t>
  </si>
  <si>
    <t xml:space="preserve">=SUM(D19:D20, D34:D35)</t>
  </si>
  <si>
    <t xml:space="preserve">Add up the geo share of the 6 Behera bricks (the last 6 rows of the table).</t>
  </si>
  <si>
    <t xml:space="preserve">Hint: Select from the first Behera row down to the last one: =SUM(D?:D?).</t>
  </si>
  <si>
    <t xml:space="preserve">•  Numbers stored as text (left-aligned, green triangle) are not added. Convert them: select → the warning icon → Convert to Number.</t>
  </si>
  <si>
    <t xml:space="preserve">•  Including the TOTAL row inside its own SUM creates a circular reference.</t>
  </si>
  <si>
    <t xml:space="preserve">Lesson 3 · Arithmetic and percentages</t>
  </si>
  <si>
    <t xml:space="preserve">+  −  *  /  and brackets. Most of the target sheet is simple arithmetic.</t>
  </si>
  <si>
    <t xml:space="preserve">Operators: + add, − subtract, * multiply, / divide, ^ power. Excel follows the usual order: brackets first, then * and /, then + and −. So =2+3*4 is 14, but =(2+3)*4 is 20.</t>
  </si>
  <si>
    <t xml:space="preserve">Percentages: a cell formatted as % stores a fraction. 25% is stored as 0.25. In the site's sheets, weights are typed as whole numbers (50 means 50%), which is why the target formula divides by 100.</t>
  </si>
  <si>
    <t xml:space="preserve">Target sheet → Summary: product value =B6*C6 (price × units). Rep calculation: weighted share =(geo weight×geo share + potentiality weight×potentiality share + contribution weight×contribution share)/100.</t>
  </si>
  <si>
    <t xml:space="preserve">Live example: a product target</t>
  </si>
  <si>
    <t xml:space="preserve">Item</t>
  </si>
  <si>
    <t xml:space="preserve">Value</t>
  </si>
  <si>
    <t xml:space="preserve">Price (EGP)</t>
  </si>
  <si>
    <t xml:space="preserve">Units</t>
  </si>
  <si>
    <t xml:space="preserve">Geo share weight %</t>
  </si>
  <si>
    <t xml:space="preserve">Potentiality weight %</t>
  </si>
  <si>
    <t xml:space="preserve">Rep geo share in scope</t>
  </si>
  <si>
    <t xml:space="preserve">Rep potentiality share</t>
  </si>
  <si>
    <t xml:space="preserve">Product target value = price × units</t>
  </si>
  <si>
    <t xml:space="preserve">=C14*C15</t>
  </si>
  <si>
    <t xml:space="preserve">Weighted share (weights ÷ 100)</t>
  </si>
  <si>
    <t xml:space="preserve">=(C16*C18+C17*C19)/100</t>
  </si>
  <si>
    <t xml:space="preserve">Rep target value</t>
  </si>
  <si>
    <t xml:space="preserve">=C14*C15*G22  (G22 = weighted share above)</t>
  </si>
  <si>
    <t xml:space="preserve">Rep target units = value ÷ price</t>
  </si>
  <si>
    <t xml:space="preserve">=G24/C14</t>
  </si>
  <si>
    <t xml:space="preserve">Change any yellow input above and watch every result update. This is what "dynamic sheet" means.</t>
  </si>
  <si>
    <t xml:space="preserve">Write a formula for the rep's target if the weights were 100% geo share: product value × rep geo share. Use the cells C14, C15 and C18.</t>
  </si>
  <si>
    <t xml:space="preserve">Hint: Multiply the three cells with *. Expected answer is about 1.1 million.</t>
  </si>
  <si>
    <t xml:space="preserve">•  Missing brackets: =60*G1+40*G2/100 divides only the second part by 100.</t>
  </si>
  <si>
    <t xml:space="preserve">•  Typing 50% in one cell and 50 in another, then mixing them: decide one style (the site uses whole numbers for weights).</t>
  </si>
  <si>
    <t xml:space="preserve">Lesson 4 · COUNTIF</t>
  </si>
  <si>
    <t xml:space="preserve">Counts how many cells match a condition.</t>
  </si>
  <si>
    <t xml:space="preserve">COUNTIF looks down a range and counts the cells that equal (or meet) your criterion. Not case-sensitive.</t>
  </si>
  <si>
    <t xml:space="preserve">=COUNTIF(range, criterion)</t>
  </si>
  <si>
    <t xml:space="preserve">range</t>
  </si>
  <si>
    <t xml:space="preserve">Where to look, e.g. the column of 70 brick names.</t>
  </si>
  <si>
    <t xml:space="preserve">criterion</t>
  </si>
  <si>
    <t xml:space="preserve">What to count: a cell (B8), text in quotes ("BEHERA II"), or a condition ("&gt;1").</t>
  </si>
  <si>
    <t xml:space="preserve">IMS brick sheet → 70 Bricks: "# of 148 Bricks" =COUNTIF('148 Bricks'!$C$2:$C$149, C2) counts how many 148 bricks belong to each 70 brick. Zones workbook → Test tab: reps per DM =COUNTIF($B$5:$B$49, B57).</t>
  </si>
  <si>
    <t xml:space="preserve">Medical rep</t>
  </si>
  <si>
    <t xml:space="preserve">Sara</t>
  </si>
  <si>
    <t xml:space="preserve">Omar</t>
  </si>
  <si>
    <t xml:space="preserve">Mona</t>
  </si>
  <si>
    <t xml:space="preserve">Youssef</t>
  </si>
  <si>
    <t xml:space="preserve">Nada</t>
  </si>
  <si>
    <t xml:space="preserve">148 bricks inside BEHERA II</t>
  </si>
  <si>
    <t xml:space="preserve">=COUNTIF($B$19:$B$35, "BEHERA II")</t>
  </si>
  <si>
    <t xml:space="preserve">Bricks covered by Sara</t>
  </si>
  <si>
    <t xml:space="preserve">=COUNTIF($E$19:$E$35, "Sara")</t>
  </si>
  <si>
    <t xml:space="preserve">Bricks with geo share above 1%</t>
  </si>
  <si>
    <t xml:space="preserve">=COUNTIF($D$19:$D$35, "&gt;1")</t>
  </si>
  <si>
    <t xml:space="preserve">Names starting with ALEX (wildcard *)</t>
  </si>
  <si>
    <t xml:space="preserve">=COUNTIF($B$19:$B$35, "ALEX*")</t>
  </si>
  <si>
    <t xml:space="preserve">Count how many bricks Nada covers.</t>
  </si>
  <si>
    <t xml:space="preserve">Hint: =COUNTIF(the Medical rep column, "Nada").</t>
  </si>
  <si>
    <t xml:space="preserve">•  Forgetting quotes around text or conditions: =COUNTIF(B:B, &gt;1) is an error, it must be "&gt;1".</t>
  </si>
  <si>
    <t xml:space="preserve">•  Extra spaces: "Sara " is not equal to "Sara". Use TRIM to clean names.</t>
  </si>
  <si>
    <t xml:space="preserve">Lesson 5 · SUMIF</t>
  </si>
  <si>
    <t xml:space="preserve">Adds numbers only for the rows that match a condition. The heart of every rep and manager total.</t>
  </si>
  <si>
    <t xml:space="preserve">SUMIF checks a condition in one column and adds the numbers from another column on the rows that match. Example: add the geo share (column D) of every row where the rep (column E) is "Sara".</t>
  </si>
  <si>
    <t xml:space="preserve">=SUMIF(range, criterion, [sum_range])</t>
  </si>
  <si>
    <t xml:space="preserve">The column to check, e.g. the rep names.</t>
  </si>
  <si>
    <t xml:space="preserve">What to match: a cell with a name, or text in quotes.</t>
  </si>
  <si>
    <t xml:space="preserve">[sum_range]</t>
  </si>
  <si>
    <t xml:space="preserve">The column to add, e.g. geo share. Must be the same size as range.</t>
  </si>
  <si>
    <t xml:space="preserve">IMS brick sheet → 70 Bricks: =SUMIF('148 Bricks'!$C$2:$C$149, C2, '148 Bricks'!$E$2:$E$149) gives each 70 brick its geo share. Target sheet → Rep calculation: =SUMIF('Brick owners'!$A:$A, A2, 'Brick owners'!$I:$I) adds all pieces of a rep. Targets tab: DM rows =SUMIF(rep calc DM column, "DM name", target column).</t>
  </si>
  <si>
    <t xml:space="preserve">District manager</t>
  </si>
  <si>
    <t xml:space="preserve">DM Alex East</t>
  </si>
  <si>
    <t xml:space="preserve">DM Alex West</t>
  </si>
  <si>
    <t xml:space="preserve">DM Behera</t>
  </si>
  <si>
    <t xml:space="preserve">Sara's geo share</t>
  </si>
  <si>
    <t xml:space="preserve">=SUMIF($E$20:$E$36, "Sara", $D$20:$D$36)</t>
  </si>
  <si>
    <t xml:space="preserve">DM Alex West geo share</t>
  </si>
  <si>
    <t xml:space="preserve">=SUMIF($F$20:$F$36, "DM Alex West", $D$20:$D$36)</t>
  </si>
  <si>
    <t xml:space="preserve">Geo share of all 148 bricks in BEHERA II</t>
  </si>
  <si>
    <t xml:space="preserve">=SUMIF($B$20:$B$36, "BEHERA II", $D$20:$D$36)</t>
  </si>
  <si>
    <t xml:space="preserve">Build a rep table with one formula copied down</t>
  </si>
  <si>
    <t xml:space="preserve">Geo share (SUMIF)</t>
  </si>
  <si>
    <t xml:space="preserve">Bricks (COUNTIF)</t>
  </si>
  <si>
    <t xml:space="preserve">Notice the criterion is B{row}, the cell with the name, not typed text. That is why one formula works for every rep when copied down, and the ranges have $ so they do not move.</t>
  </si>
  <si>
    <t xml:space="preserve">Write the geo share of DM Behera using SUMIF on the District manager column.</t>
  </si>
  <si>
    <t xml:space="preserve">Hint: =SUMIF(District manager column, "DM Behera", Geo share column). Lock ranges with $ if you will copy it.</t>
  </si>
  <si>
    <t xml:space="preserve">•  range and sum_range of different sizes give wrong totals without any error.</t>
  </si>
  <si>
    <t xml:space="preserve">•  Forgetting $ on the ranges, then copying the formula down: the ranges slide and miss rows.</t>
  </si>
  <si>
    <t xml:space="preserve">Lesson 6 · VLOOKUP</t>
  </si>
  <si>
    <t xml:space="preserve">Finds a value in the first column of a table and returns a value from the same row.</t>
  </si>
  <si>
    <t xml:space="preserve">VLOOKUP searches the FIRST column of a table for your value, then returns the cell from the column number you ask for, on the same row. Like looking up a name in a phone book and reading the number next to it.</t>
  </si>
  <si>
    <t xml:space="preserve">=VLOOKUP(lookup_value, table_array, col_index_num, [range_lookup])</t>
  </si>
  <si>
    <t xml:space="preserve">lookup_value</t>
  </si>
  <si>
    <t xml:space="preserve">What to find, e.g. a 70 brick name.</t>
  </si>
  <si>
    <t xml:space="preserve">table_array</t>
  </si>
  <si>
    <t xml:space="preserve">The table. The value must be in its first column. Lock it with $.</t>
  </si>
  <si>
    <t xml:space="preserve">col_index_num</t>
  </si>
  <si>
    <t xml:space="preserve">Which column of the table to return: 1 = first column, 2 = second…</t>
  </si>
  <si>
    <t xml:space="preserve">[range_lookup]</t>
  </si>
  <si>
    <t xml:space="preserve">Always type FALSE (exact match). Leaving it empty can return a wrong row.</t>
  </si>
  <si>
    <t xml:space="preserve">Target sheet → Brick owners: =H2*VLOOKUP(D2, 'Brick data'!$A$2:$G$71, 4, FALSE) fetches the brick's potentiality % from the Brick data tab (column 4) and multiplies it by the piece's share of the brick.</t>
  </si>
  <si>
    <t xml:space="preserve">Live example: a Brick data table</t>
  </si>
  <si>
    <t xml:space="preserve">Potentiality %</t>
  </si>
  <si>
    <t xml:space="preserve">Contribution %</t>
  </si>
  <si>
    <t xml:space="preserve">Brick to look up:</t>
  </si>
  <si>
    <t xml:space="preserve">Geo share of the chosen brick</t>
  </si>
  <si>
    <t xml:space="preserve">=VLOOKUP(C32, $B$21:$E$30, 2, FALSE)</t>
  </si>
  <si>
    <t xml:space="preserve">Its potentiality %</t>
  </si>
  <si>
    <t xml:space="preserve">=VLOOKUP(C32, $B$21:$E$30, 3, FALSE)</t>
  </si>
  <si>
    <t xml:space="preserve">Its contribution %</t>
  </si>
  <si>
    <t xml:space="preserve">=VLOOKUP(C32, $B$21:$E$30, 4, FALSE)</t>
  </si>
  <si>
    <t xml:space="preserve">Pick another brick from the drop-down in C32 and watch the three results change.</t>
  </si>
  <si>
    <t xml:space="preserve">Return the contribution % of ALEX CENTER II from the table (column 4).</t>
  </si>
  <si>
    <t xml:space="preserve">Hint: =VLOOKUP("ALEX CENTER II", the table with $, 4, FALSE).</t>
  </si>
  <si>
    <t xml:space="preserve">•  The value you search is not in the FIRST column of table_array: VLOOKUP only searches to the right.</t>
  </si>
  <si>
    <t xml:space="preserve">•  Leaving out FALSE: Excel may return a neighbouring row's value without any warning.</t>
  </si>
  <si>
    <t xml:space="preserve">•  #N/A means "not found": check spelling and extra spaces. Lesson 8 shows how to handle it.</t>
  </si>
  <si>
    <t xml:space="preserve">Lesson 7 · IF</t>
  </si>
  <si>
    <t xml:space="preserve">Chooses between two results based on a test.</t>
  </si>
  <si>
    <t xml:space="preserve">IF checks a condition. If it is true, it returns one value; if false, another. Conditions use = equal, &lt;&gt; not equal, &gt; greater, &lt; less, &gt;= and &lt;=.</t>
  </si>
  <si>
    <t xml:space="preserve">=IF(logical_test, value_if_true, value_if_false)</t>
  </si>
  <si>
    <t xml:space="preserve">logical_test</t>
  </si>
  <si>
    <t xml:space="preserve">A test that is TRUE or FALSE, e.g. B6&gt;0 or D10="".</t>
  </si>
  <si>
    <t xml:space="preserve">value_if_true</t>
  </si>
  <si>
    <t xml:space="preserve">What to show when the test is true: a number, text in quotes, or another formula.</t>
  </si>
  <si>
    <t xml:space="preserve">value_if_false</t>
  </si>
  <si>
    <t xml:space="preserve">What to show when it is false.</t>
  </si>
  <si>
    <t xml:space="preserve">Target sheet → Rep calculation: =IF(Summary!$B$6&gt;0, value/Summary!$B$6, "") shows target units only when a price exists. =IF(SUM(column)=0, 0, value/SUM(column)) avoids dividing by zero when no data is filled.</t>
  </si>
  <si>
    <t xml:space="preserve">Rep</t>
  </si>
  <si>
    <t xml:space="preserve">Target share %</t>
  </si>
  <si>
    <t xml:space="preserve">Label Sara: heavy or light vs target</t>
  </si>
  <si>
    <t xml:space="preserve">=IF(C20&gt;D20, "Too heavy", "OK or light")</t>
  </si>
  <si>
    <t xml:space="preserve">More than 35% above target? (site's red flag)</t>
  </si>
  <si>
    <t xml:space="preserve">=IF(C24/D24-1&gt;0.35, "Rebalance", "Fine")</t>
  </si>
  <si>
    <t xml:space="preserve">Units only when a price exists (price 0 here)</t>
  </si>
  <si>
    <t xml:space="preserve">=IF(0&gt;0, 1000/0, "")  → shows empty, no #DIV/0!</t>
  </si>
  <si>
    <t xml:space="preserve">Nested IF: three levels</t>
  </si>
  <si>
    <t xml:space="preserve">=IF(C22&gt;D22*1.35,"Heavy",IF(C22&lt;D22*0.65,"Light","On target"))</t>
  </si>
  <si>
    <t xml:space="preserve">For Omar (row 21), return "Below" if his geo share is less than his target share, otherwise "Above".</t>
  </si>
  <si>
    <t xml:space="preserve">Hint: =IF(C?&lt;D?, "Below", "Above"). Text must be in quotes.</t>
  </si>
  <si>
    <t xml:space="preserve">•  Text without quotes: =IF(A1&gt;1, Heavy, Light) gives #NAME?. Write "Heavy".</t>
  </si>
  <si>
    <t xml:space="preserve">•  Using = to compare text with different spaces or spelling: the test is FALSE even if it looks equal.</t>
  </si>
  <si>
    <t xml:space="preserve">Lesson 8 · IFERROR</t>
  </si>
  <si>
    <t xml:space="preserve">Shows a clean value instead of an error.</t>
  </si>
  <si>
    <t xml:space="preserve">IFERROR runs a formula; if the result is an error (#N/A, #DIV/0!, #VALUE!…), it returns the value you choose instead. It keeps reports clean.</t>
  </si>
  <si>
    <t xml:space="preserve">=IFERROR(value, value_if_error)</t>
  </si>
  <si>
    <t xml:space="preserve">value</t>
  </si>
  <si>
    <t xml:space="preserve">The formula you want to calculate.</t>
  </si>
  <si>
    <t xml:space="preserve">value_if_error</t>
  </si>
  <si>
    <t xml:space="preserve">What to show if it fails: 0, "", or a message like "Not found".</t>
  </si>
  <si>
    <t xml:space="preserve">Target sheet → Brick owners: share of the 70 brick =IFERROR(G2/VLOOKUP(D2, 'Brick data'!…, 3, FALSE), 0). If the brick is missing from Brick data, it shows 0 instead of #N/A.</t>
  </si>
  <si>
    <t xml:space="preserve">Brick to find</t>
  </si>
  <si>
    <t xml:space="preserve">BEHERA 9</t>
  </si>
  <si>
    <t xml:space="preserve">Divider</t>
  </si>
  <si>
    <t xml:space="preserve">VLOOKUP alone (brick does not exist)</t>
  </si>
  <si>
    <t xml:space="preserve">=VLOOKUP(C18, '6 VLOOKUP'!$B$1:$E$200, 2, FALSE)</t>
  </si>
  <si>
    <t xml:space="preserve">Same, wrapped in IFERROR</t>
  </si>
  <si>
    <t xml:space="preserve">=IFERROR(VLOOKUP(C18, '6 VLOOKUP'!$B$1:$E$200, 2, FALSE), "Not found")</t>
  </si>
  <si>
    <t xml:space="preserve">Divide by zero alone</t>
  </si>
  <si>
    <t xml:space="preserve">=100/C19</t>
  </si>
  <si>
    <t xml:space="preserve">Divide by zero with IFERROR</t>
  </si>
  <si>
    <t xml:space="preserve">=IFERROR(100/C19, 0)</t>
  </si>
  <si>
    <t xml:space="preserve">The "alone" rows show the error you would get. Type BEHERA II in the first yellow cell, or 4 in the second, and watch the errors disappear on their own.</t>
  </si>
  <si>
    <t xml:space="preserve">Wrap =50/0 in IFERROR so it returns 0.</t>
  </si>
  <si>
    <t xml:space="preserve">Hint: =IFERROR(50/0, 0)</t>
  </si>
  <si>
    <t xml:space="preserve">•  Using IFERROR everywhere can hide real mistakes (a typo in a brick name shows 0 silently). Check totals still add up to what you expect.</t>
  </si>
  <si>
    <t xml:space="preserve">Lesson 9 · AVERAGE, MIN, MAX</t>
  </si>
  <si>
    <t xml:space="preserve">Average, lowest and highest value of a range.</t>
  </si>
  <si>
    <t xml:space="preserve">=AVERAGE(range)    =MIN(range)    =MAX(range)</t>
  </si>
  <si>
    <t xml:space="preserve">The numbers to look at, e.g. every rep's geo share.</t>
  </si>
  <si>
    <t xml:space="preserve">Zones workbook → Test tab summary: average per rep, lowest rep, highest rep. On the site, the "Rep share range" and "Average" tiles show the same numbers.</t>
  </si>
  <si>
    <t xml:space="preserve">Average rep share</t>
  </si>
  <si>
    <t xml:space="preserve">=AVERAGE(C14:C18)</t>
  </si>
  <si>
    <t xml:space="preserve">Lowest rep</t>
  </si>
  <si>
    <t xml:space="preserve">=MIN(C14:C18)</t>
  </si>
  <si>
    <t xml:space="preserve">Highest rep</t>
  </si>
  <si>
    <t xml:space="preserve">=MAX(C14:C18)</t>
  </si>
  <si>
    <t xml:space="preserve">Gap between highest and lowest</t>
  </si>
  <si>
    <t xml:space="preserve">=MAX(C14:C18)-MIN(C14:C18)</t>
  </si>
  <si>
    <t xml:space="preserve">How far is the highest rep above the average? (MAX minus AVERAGE)</t>
  </si>
  <si>
    <t xml:space="preserve">Hint: =MAX(range)-AVERAGE(range)</t>
  </si>
  <si>
    <t xml:space="preserve">•  AVERAGE ignores empty cells but counts zeros: a rep with 0 pulls the average down.</t>
  </si>
  <si>
    <t xml:space="preserve">Lesson 10 · STDEVP and the balance spread (CV)</t>
  </si>
  <si>
    <t xml:space="preserve">How even are the reps? One number answers it.</t>
  </si>
  <si>
    <t xml:space="preserve">STDEVP (standard deviation) measures how far values are spread from their average. Dividing it by the average gives the CV (coefficient of variation), as a %. The site's "Balance (spread)" tile is exactly this CV. Under 20% means the reps are quite even.</t>
  </si>
  <si>
    <t xml:space="preserve">=STDEVP(range)        CV  =STDEVP(range)/AVERAGE(range)</t>
  </si>
  <si>
    <t xml:space="preserve">The values, e.g. every rep's geo share. STDEVP treats them as the whole team (all reps), which is what we want.</t>
  </si>
  <si>
    <t xml:space="preserve">Zones workbook → Test tab: Spread (CV) =STDEVP(D5:D49)/AVERAGE(D5:D49). Site dashboard: Balance (spread).</t>
  </si>
  <si>
    <t xml:space="preserve">Team A share %</t>
  </si>
  <si>
    <t xml:space="preserve">Team B share %</t>
  </si>
  <si>
    <t xml:space="preserve">Rep 1</t>
  </si>
  <si>
    <t xml:space="preserve">Rep 2</t>
  </si>
  <si>
    <t xml:space="preserve">Rep 3</t>
  </si>
  <si>
    <t xml:space="preserve">Rep 4</t>
  </si>
  <si>
    <t xml:space="preserve">Rep 5</t>
  </si>
  <si>
    <t xml:space="preserve">Team A spread (CV)</t>
  </si>
  <si>
    <t xml:space="preserve">=STDEVP(C17:C21)/AVERAGE(C17:C21)</t>
  </si>
  <si>
    <t xml:space="preserve">Team B spread (CV)</t>
  </si>
  <si>
    <t xml:space="preserve">=STDEVP(D17:D21)/AVERAGE(D17:D21)</t>
  </si>
  <si>
    <t xml:space="preserve">Both teams have the same total, but Team B is far less balanced, and the CV shows it straight away.</t>
  </si>
  <si>
    <t xml:space="preserve">Write only the standard deviation of Team B (no division).</t>
  </si>
  <si>
    <t xml:space="preserve">Hint: =STDEVP(range of Team B)</t>
  </si>
  <si>
    <t xml:space="preserve">•  STDEV (without P) treats the data as a sample and gives a slightly bigger number. For a full team use STDEVP.</t>
  </si>
  <si>
    <t xml:space="preserve">Lesson 11 · Share of a total</t>
  </si>
  <si>
    <t xml:space="preserve">Turn raw numbers into shares that add up to 100%. Used for every factor in target setting.</t>
  </si>
  <si>
    <t xml:space="preserve">The idea</t>
  </si>
  <si>
    <t xml:space="preserve">A rep's share = rep value ÷ total of all reps in the scope. Shares always add up to 100%, whatever the raw numbers add up to. This is why a district manager can get a correct split even though his bricks are only 9% of the country.</t>
  </si>
  <si>
    <t xml:space="preserve">Safe version: =IF(SUM(range)=0, 0, value/SUM(range)) so an empty column shows 0 instead of #DIV/0!.</t>
  </si>
  <si>
    <t xml:space="preserve">Target sheet → Rep calculation: geo share in scope =IF(SUM($D$2:$D$46)=0,0,D2/SUM($D$2:$D$46)), and the same for potentiality share and contribution share.</t>
  </si>
  <si>
    <t xml:space="preserve">Rep (DM Behera only)</t>
  </si>
  <si>
    <t xml:space="preserve">Share in scope</t>
  </si>
  <si>
    <t xml:space="preserve">Hany</t>
  </si>
  <si>
    <t xml:space="preserve">The geo shares add up to about 5%, but the shares in scope add up to exactly 100%: the DM's whole target is shared out.</t>
  </si>
  <si>
    <t xml:space="preserve">Write Youssef's share in scope (row 14) WITHOUT the IF guard.</t>
  </si>
  <si>
    <t xml:space="preserve">Hint: =his value / SUM(all three values)</t>
  </si>
  <si>
    <t xml:space="preserve">Lesson 12 · Target formula lab</t>
  </si>
  <si>
    <t xml:space="preserve">The full target calculation from the Target setting tab, built step by step with live formulas.</t>
  </si>
  <si>
    <t xml:space="preserve">The formula</t>
  </si>
  <si>
    <t xml:space="preserve">Rep target = Product target × Weighted share,  where  Weighted share = (Geo weight × Geo share + Potentiality weight × Potentiality share + Contribution weight × Contribution share) ÷ 100. Each share is the rep's part of the scope total (Lesson 11).</t>
  </si>
  <si>
    <t xml:space="preserve">Step 1 · Inputs (yellow, change them)</t>
  </si>
  <si>
    <t xml:space="preserve">Product target (EGP)</t>
  </si>
  <si>
    <t xml:space="preserve">Contribution weight %</t>
  </si>
  <si>
    <t xml:space="preserve">Weights check</t>
  </si>
  <si>
    <t xml:space="preserve">Step 2 · Rep raw data (yellow) and Step 3 · Shares, weighted share, target (green)</t>
  </si>
  <si>
    <t xml:space="preserve">Geo share in scope</t>
  </si>
  <si>
    <t xml:space="preserve">Potentiality share</t>
  </si>
  <si>
    <t xml:space="preserve">Contribution share</t>
  </si>
  <si>
    <t xml:space="preserve">Weighted share</t>
  </si>
  <si>
    <t xml:space="preserve">Target value</t>
  </si>
  <si>
    <t xml:space="preserve">TOTAL</t>
  </si>
  <si>
    <t xml:space="preserve">Check: the weighted shares add up to 100% and the target values add up to the product target. Click I17 and J17 to read the formulas, then change a weight or a rep's data and watch everything move.</t>
  </si>
  <si>
    <t xml:space="preserve">Step 4 · Managers = SUMIF of their reps</t>
  </si>
  <si>
    <t xml:space="preserve">DM Alex</t>
  </si>
  <si>
    <t xml:space="preserve">Write Sara's target if the weights were 100% geo share: product target × her geo share in scope (F17).</t>
  </si>
  <si>
    <t xml:space="preserve">Hint: =the product target cell * Sara's geo share in scope.</t>
  </si>
  <si>
    <t xml:space="preserve">Lesson 13 · Formats, filters, freeze panes, colours</t>
  </si>
  <si>
    <t xml:space="preserve">Tools the site uses to make its sheets readable. No formulas needed.</t>
  </si>
  <si>
    <t xml:space="preserve">Tool</t>
  </si>
  <si>
    <t xml:space="preserve">How to use it</t>
  </si>
  <si>
    <t xml:space="preserve">What the site does with it</t>
  </si>
  <si>
    <t xml:space="preserve">Number format 0.00</t>
  </si>
  <si>
    <t xml:space="preserve">Home → Number → More number formats → Custom → type 0.00</t>
  </si>
  <si>
    <t xml:space="preserve">Geo share % shown with 2 decimals.</t>
  </si>
  <si>
    <t xml:space="preserve">Number format #,##0</t>
  </si>
  <si>
    <t xml:space="preserve">Custom → #,##0</t>
  </si>
  <si>
    <t xml:space="preserve">Targets and units with thousands separators, no decimals.</t>
  </si>
  <si>
    <t xml:space="preserve">Number format 0.0%</t>
  </si>
  <si>
    <t xml:space="preserve">Custom → 0.0% (the cell must hold a fraction: 0.25 shows 25.0%)</t>
  </si>
  <si>
    <t xml:space="preserve">Share of a 70 brick, rep shares.</t>
  </si>
  <si>
    <t xml:space="preserve">Number format +0%;-0%;0%</t>
  </si>
  <si>
    <t xml:space="preserve">Custom → +0%;-0%;0% (positive;negative;zero)</t>
  </si>
  <si>
    <t xml:space="preserve">"vs target" column shows +12% or −8%.</t>
  </si>
  <si>
    <t xml:space="preserve">Filter</t>
  </si>
  <si>
    <t xml:space="preserve">Select the header row → Data → Filter. Click the arrow on any column to filter or sort.</t>
  </si>
  <si>
    <t xml:space="preserve">All big tables (148 Bricks, Rep territories, Structure) come with filters.</t>
  </si>
  <si>
    <t xml:space="preserve">Freeze panes</t>
  </si>
  <si>
    <t xml:space="preserve">View → Freeze Panes → Freeze Top Row (or select a cell first to freeze above/left of it).</t>
  </si>
  <si>
    <t xml:space="preserve">Header rows and brick names stay visible while scrolling.</t>
  </si>
  <si>
    <t xml:space="preserve">Conditional formatting</t>
  </si>
  <si>
    <t xml:space="preserve">Home → Conditional Formatting → Highlight Cells Rules → Between / Greater Than…</t>
  </si>
  <si>
    <t xml:space="preserve">Green / amber / red on "vs target" and "vs avg rep".</t>
  </si>
  <si>
    <t xml:space="preserve">Data validation (drop-down)</t>
  </si>
  <si>
    <t xml:space="preserve">Data → Data Validation → Allow: List → Source: a range.</t>
  </si>
  <si>
    <t xml:space="preserve">Used in Lesson 6 of this guide to pick a brick.</t>
  </si>
  <si>
    <t xml:space="preserve">Hyperlink</t>
  </si>
  <si>
    <t xml:space="preserve">Insert → Link, or right-click → Link.</t>
  </si>
  <si>
    <t xml:space="preserve">Site link on the "How to fill" and "How to edit" tabs; the lesson links on Start.</t>
  </si>
  <si>
    <t xml:space="preserve">Formula bar &amp; F2</t>
  </si>
  <si>
    <t xml:space="preserve">Click a cell and read the formula bar, or press F2 to see coloured references.</t>
  </si>
  <si>
    <t xml:space="preserve">Best way to study every formula in the site's files.</t>
  </si>
  <si>
    <t xml:space="preserve">Trace precedents</t>
  </si>
  <si>
    <t xml:space="preserve">Formulas → Trace Precedents: arrows show which cells feed a formula.</t>
  </si>
  <si>
    <t xml:space="preserve">Follow a rep target back to its inputs in the target sheet.</t>
  </si>
  <si>
    <t xml:space="preserve">Try a custom format</t>
  </si>
  <si>
    <t xml:space="preserve">Type a number here, e.g. 0.123 →</t>
  </si>
  <si>
    <t xml:space="preserve">Then right-click → Format Cells → Custom and try 0.00, 0.0%, #,##0 and +0%;-0%;0% to see the difference.</t>
  </si>
  <si>
    <t xml:space="preserve">All the functions used in the site's sheets, on one page.</t>
  </si>
  <si>
    <t xml:space="preserve">Function</t>
  </si>
  <si>
    <t xml:space="preserve">Example from the site</t>
  </si>
  <si>
    <t xml:space="preserve">=SUM(range)</t>
  </si>
  <si>
    <t xml:space="preserve">Adds numbers</t>
  </si>
  <si>
    <t xml:space="preserve">=SUM(E2:E149) → total geo share 100%</t>
  </si>
  <si>
    <t xml:space="preserve">Counts matching cells</t>
  </si>
  <si>
    <t xml:space="preserve">=COUNTIF('148 Bricks'!$C$2:$C$149, C2) → 148 bricks per 70 brick</t>
  </si>
  <si>
    <t xml:space="preserve">=SUMIF(range, criterion, sum_range)</t>
  </si>
  <si>
    <t xml:space="preserve">Adds numbers on matching rows</t>
  </si>
  <si>
    <t xml:space="preserve">=SUMIF('Brick owners'!$A:$A, A2, 'Brick owners'!$I:$I) → rep geo share</t>
  </si>
  <si>
    <t xml:space="preserve">=VLOOKUP(value, table, col, FALSE)</t>
  </si>
  <si>
    <t xml:space="preserve">Fetches a value from a table</t>
  </si>
  <si>
    <t xml:space="preserve">=VLOOKUP(D2, 'Brick data'!$A$2:$G$71, 4, FALSE) → potentiality %</t>
  </si>
  <si>
    <t xml:space="preserve">=IF(test, if_true, if_false)</t>
  </si>
  <si>
    <t xml:space="preserve">Chooses a result</t>
  </si>
  <si>
    <t xml:space="preserve">=IF(Summary!$B$6&gt;0, J2/Summary!$B$6, "") → units only with a price</t>
  </si>
  <si>
    <t xml:space="preserve">=IFERROR(formula, if_error)</t>
  </si>
  <si>
    <t xml:space="preserve">Hides errors</t>
  </si>
  <si>
    <t xml:space="preserve">=IFERROR(G2/VLOOKUP(…), 0)</t>
  </si>
  <si>
    <t xml:space="preserve">AVERAGE</t>
  </si>
  <si>
    <t xml:space="preserve">=AVERAGE(range)</t>
  </si>
  <si>
    <t xml:space="preserve">Average</t>
  </si>
  <si>
    <t xml:space="preserve">=AVERAGE(D5:D49) → average rep share</t>
  </si>
  <si>
    <t xml:space="preserve">MIN / MAX</t>
  </si>
  <si>
    <t xml:space="preserve">=MIN(range) / =MAX(range)</t>
  </si>
  <si>
    <t xml:space="preserve">Lowest / highest</t>
  </si>
  <si>
    <t xml:space="preserve">Rep share range</t>
  </si>
  <si>
    <t xml:space="preserve">STDEVP</t>
  </si>
  <si>
    <t xml:space="preserve">=STDEVP(range)</t>
  </si>
  <si>
    <t xml:space="preserve">Spread around the average</t>
  </si>
  <si>
    <t xml:space="preserve">CV =STDEVP(D5:D49)/AVERAGE(D5:D49)</t>
  </si>
  <si>
    <t xml:space="preserve">Share</t>
  </si>
  <si>
    <t xml:space="preserve">=IF(SUM(r)=0,0,x/SUM(r))</t>
  </si>
  <si>
    <t xml:space="preserve">Part of a total</t>
  </si>
  <si>
    <t xml:space="preserve">Geo / potentiality / contribution share in scope</t>
  </si>
  <si>
    <t xml:space="preserve">=(wG*G+wP*P+wC*C)/100</t>
  </si>
  <si>
    <t xml:space="preserve">Mixes factors by weight</t>
  </si>
  <si>
    <t xml:space="preserve">Target setting</t>
  </si>
  <si>
    <t xml:space="preserve">$ reference</t>
  </si>
  <si>
    <t xml:space="preserve">$D$6, $D6, D$6</t>
  </si>
  <si>
    <t xml:space="preserve">Locks a reference when copying</t>
  </si>
  <si>
    <t xml:space="preserve">=Summary!$D$6*K2</t>
  </si>
  <si>
    <t xml:space="preserve">Other tab</t>
  </si>
  <si>
    <t xml:space="preserve">'Tab name'!A1</t>
  </si>
  <si>
    <t xml:space="preserve">Points to another sheet</t>
  </si>
  <si>
    <t xml:space="preserve">'Brick data'!C5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</si>
</sst>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0.0000"/>
    <numFmt numFmtId="168" formatCode="#,##0.00"/>
    <numFmt numFmtId="169" formatCode="#,##0"/>
    <numFmt numFmtId="170" formatCode="0"/>
    <numFmt numFmtId="171" formatCode="0.00%"/>
    <numFmt numFmtId="172" formatCode="0.000%"/>
    <numFmt numFmtId="173" formatCode="General"/>
    <numFmt numFmtId="174" formatCode="@"/>
    <numFmt numFmtId="175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251F"/>
      <name val="Arial"/>
      <family val="0"/>
      <charset val="1"/>
    </font>
    <font>
      <sz val="10"/>
      <color rgb="FF5B6B64"/>
      <name val="Arial"/>
      <family val="0"/>
      <charset val="1"/>
    </font>
    <font>
      <u val="single"/>
      <sz val="10"/>
      <color rgb="FF0F6B5C"/>
      <name val="Arial"/>
      <family val="0"/>
      <charset val="1"/>
    </font>
    <font>
      <b val="true"/>
      <sz val="12"/>
      <color rgb="FF0F6B5C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0F6B5C"/>
      <name val="Arial"/>
      <family val="0"/>
      <charset val="1"/>
    </font>
    <font>
      <b val="true"/>
      <sz val="18"/>
      <color rgb="FF14251F"/>
      <name val="Arial"/>
      <family val="0"/>
      <charset val="1"/>
    </font>
    <font>
      <u val="single"/>
      <sz val="9"/>
      <color rgb="FF0F6B5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14251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F6B5C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51F"/>
        <bgColor rgb="FF333333"/>
      </patternFill>
    </fill>
    <fill>
      <patternFill patternType="solid">
        <fgColor rgb="FFD6EBE5"/>
        <bgColor rgb="FFDCEFE2"/>
      </patternFill>
    </fill>
    <fill>
      <patternFill patternType="solid">
        <fgColor rgb="FFFFF4C2"/>
        <bgColor rgb="FFFFFF99"/>
      </patternFill>
    </fill>
    <fill>
      <patternFill patternType="solid">
        <fgColor rgb="FFEEF1EF"/>
        <bgColor rgb="FFDCEF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8D3"/>
      </left>
      <right style="thin">
        <color rgb="FFCFD8D3"/>
      </right>
      <top style="thin">
        <color rgb="FFCFD8D3"/>
      </top>
      <bottom style="thin">
        <color rgb="FFCF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2F7D4A"/>
      </font>
      <fill>
        <patternFill>
          <bgColor rgb="FFDCEFE2"/>
        </patternFill>
      </fill>
    </dxf>
    <dxf>
      <font>
        <b val="1"/>
        <color rgb="FFB23A3A"/>
      </font>
      <fill>
        <patternFill>
          <bgColor rgb="FFF6DC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5C"/>
      <rgbColor rgb="FFC0C0C0"/>
      <rgbColor rgb="FF808080"/>
      <rgbColor rgb="FF9999FF"/>
      <rgbColor rgb="FFB23A3A"/>
      <rgbColor rgb="FFFFF4C2"/>
      <rgbColor rgb="FFD6EBE5"/>
      <rgbColor rgb="FF660066"/>
      <rgbColor rgb="FFFF8080"/>
      <rgbColor rgb="FF0066CC"/>
      <rgbColor rgb="FFCF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EF"/>
      <rgbColor rgb="FFDCEFE2"/>
      <rgbColor rgb="FFFFFF99"/>
      <rgbColor rgb="FF99CCFF"/>
      <rgbColor rgb="FFFF99CC"/>
      <rgbColor rgb="FFCC99FF"/>
      <rgbColor rgb="FFF6DCDC"/>
      <rgbColor rgb="FF3366FF"/>
      <rgbColor rgb="FF33CCCC"/>
      <rgbColor rgb="FF99CC00"/>
      <rgbColor rgb="FFFFCC00"/>
      <rgbColor rgb="FFFF9900"/>
      <rgbColor rgb="FFFF6600"/>
      <rgbColor rgb="FF5B6B64"/>
      <rgbColor rgb="FF969696"/>
      <rgbColor rgb="FF003366"/>
      <rgbColor rgb="FF2F7D4A"/>
      <rgbColor rgb="FF1425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6</xdr:col>
      <xdr:colOff>131400</xdr:colOff>
      <xdr:row>3</xdr:row>
      <xdr:rowOff>51120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95176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khaledtolba.github.io/territory-builder/" TargetMode="External"/><Relationship Id="rId2" Type="http://schemas.openxmlformats.org/officeDocument/2006/relationships/hyperlink" Target="g.xlsx" TargetMode="External"/><Relationship Id="rId3" Type="http://schemas.openxmlformats.org/officeDocument/2006/relationships/hyperlink" Target="g.xlsx" TargetMode="External"/><Relationship Id="rId4" Type="http://schemas.openxmlformats.org/officeDocument/2006/relationships/hyperlink" Target="g.xlsx" TargetMode="External"/><Relationship Id="rId5" Type="http://schemas.openxmlformats.org/officeDocument/2006/relationships/hyperlink" Target="g.xlsx" TargetMode="External"/><Relationship Id="rId6" Type="http://schemas.openxmlformats.org/officeDocument/2006/relationships/hyperlink" Target="g.xlsx" TargetMode="External"/><Relationship Id="rId7" Type="http://schemas.openxmlformats.org/officeDocument/2006/relationships/hyperlink" Target="g.xlsx" TargetMode="External"/><Relationship Id="rId8" Type="http://schemas.openxmlformats.org/officeDocument/2006/relationships/hyperlink" Target="g.xlsx" TargetMode="External"/><Relationship Id="rId9" Type="http://schemas.openxmlformats.org/officeDocument/2006/relationships/hyperlink" Target="g.xlsx" TargetMode="External"/><Relationship Id="rId10" Type="http://schemas.openxmlformats.org/officeDocument/2006/relationships/hyperlink" Target="g.xlsx" TargetMode="External"/><Relationship Id="rId11" Type="http://schemas.openxmlformats.org/officeDocument/2006/relationships/hyperlink" Target="g.xlsx" TargetMode="External"/><Relationship Id="rId12" Type="http://schemas.openxmlformats.org/officeDocument/2006/relationships/hyperlink" Target="g.xlsx" TargetMode="External"/><Relationship Id="rId13" Type="http://schemas.openxmlformats.org/officeDocument/2006/relationships/hyperlink" Target="g.xlsx" TargetMode="External"/><Relationship Id="rId14" Type="http://schemas.openxmlformats.org/officeDocument/2006/relationships/hyperlink" Target="g.xlsx" TargetMode="External"/><Relationship Id="rId15" Type="http://schemas.openxmlformats.org/officeDocument/2006/relationships/hyperlink" Target="g.xlsx" TargetMode="External"/><Relationship Id="rId1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g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51F"/>
    <pageSetUpPr fitToPage="false"/>
  </sheetPr>
  <dimension ref="B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true" outlineLevel="0" collapsed="false">
      <c r="B6" s="5" t="s">
        <v>4</v>
      </c>
      <c r="C6" s="5"/>
      <c r="D6" s="5"/>
    </row>
    <row r="7" customFormat="false" ht="26.85" hidden="false" customHeight="true" outlineLevel="0" collapsed="false">
      <c r="B7" s="5" t="s">
        <v>5</v>
      </c>
      <c r="C7" s="5"/>
      <c r="D7" s="5"/>
    </row>
    <row r="8" customFormat="false" ht="15" hidden="false" customHeight="true" outlineLevel="0" collapsed="false">
      <c r="B8" s="5" t="s">
        <v>6</v>
      </c>
      <c r="C8" s="5"/>
      <c r="D8" s="5"/>
    </row>
    <row r="9" customFormat="false" ht="15" hidden="false" customHeight="true" outlineLevel="0" collapsed="false">
      <c r="B9" s="5" t="s">
        <v>7</v>
      </c>
      <c r="C9" s="5"/>
      <c r="D9" s="5"/>
    </row>
    <row r="10" customFormat="false" ht="26.85" hidden="false" customHeight="true" outlineLevel="0" collapsed="false">
      <c r="B10" s="5" t="s">
        <v>8</v>
      </c>
      <c r="C10" s="5"/>
      <c r="D10" s="5"/>
    </row>
    <row r="12" customFormat="false" ht="24" hidden="false" customHeight="true" outlineLevel="0" collapsed="false">
      <c r="B12" s="6" t="s">
        <v>9</v>
      </c>
      <c r="C12" s="6" t="s">
        <v>10</v>
      </c>
      <c r="D12" s="6" t="s">
        <v>11</v>
      </c>
      <c r="E12" s="6" t="s">
        <v>12</v>
      </c>
    </row>
    <row r="13" customFormat="false" ht="30" hidden="false" customHeight="true" outlineLevel="0" collapsed="false">
      <c r="B13" s="7" t="n">
        <v>1</v>
      </c>
      <c r="C13" s="8" t="s">
        <v>13</v>
      </c>
      <c r="D13" s="9" t="s">
        <v>14</v>
      </c>
      <c r="E13" s="10" t="s">
        <v>15</v>
      </c>
    </row>
    <row r="14" customFormat="false" ht="30" hidden="false" customHeight="true" outlineLevel="0" collapsed="false">
      <c r="B14" s="7" t="n">
        <v>2</v>
      </c>
      <c r="C14" s="8" t="s">
        <v>16</v>
      </c>
      <c r="D14" s="9" t="s">
        <v>17</v>
      </c>
      <c r="E14" s="10" t="s">
        <v>15</v>
      </c>
    </row>
    <row r="15" customFormat="false" ht="30" hidden="false" customHeight="true" outlineLevel="0" collapsed="false">
      <c r="B15" s="7" t="n">
        <v>3</v>
      </c>
      <c r="C15" s="8" t="s">
        <v>18</v>
      </c>
      <c r="D15" s="9" t="s">
        <v>19</v>
      </c>
      <c r="E15" s="10" t="s">
        <v>15</v>
      </c>
    </row>
    <row r="16" customFormat="false" ht="30" hidden="false" customHeight="true" outlineLevel="0" collapsed="false">
      <c r="B16" s="7" t="n">
        <v>4</v>
      </c>
      <c r="C16" s="8" t="s">
        <v>20</v>
      </c>
      <c r="D16" s="9" t="s">
        <v>21</v>
      </c>
      <c r="E16" s="10" t="s">
        <v>15</v>
      </c>
    </row>
    <row r="17" customFormat="false" ht="30" hidden="false" customHeight="true" outlineLevel="0" collapsed="false">
      <c r="B17" s="7" t="n">
        <v>5</v>
      </c>
      <c r="C17" s="8" t="s">
        <v>22</v>
      </c>
      <c r="D17" s="9" t="s">
        <v>23</v>
      </c>
      <c r="E17" s="10" t="s">
        <v>24</v>
      </c>
    </row>
    <row r="18" customFormat="false" ht="30" hidden="false" customHeight="true" outlineLevel="0" collapsed="false">
      <c r="B18" s="7" t="n">
        <v>6</v>
      </c>
      <c r="C18" s="8" t="s">
        <v>25</v>
      </c>
      <c r="D18" s="9" t="s">
        <v>26</v>
      </c>
      <c r="E18" s="10" t="s">
        <v>24</v>
      </c>
    </row>
    <row r="19" customFormat="false" ht="30" hidden="false" customHeight="true" outlineLevel="0" collapsed="false">
      <c r="B19" s="7" t="n">
        <v>7</v>
      </c>
      <c r="C19" s="8" t="s">
        <v>27</v>
      </c>
      <c r="D19" s="9" t="s">
        <v>28</v>
      </c>
      <c r="E19" s="10" t="s">
        <v>24</v>
      </c>
    </row>
    <row r="20" customFormat="false" ht="30" hidden="false" customHeight="true" outlineLevel="0" collapsed="false">
      <c r="B20" s="7" t="n">
        <v>8</v>
      </c>
      <c r="C20" s="8" t="s">
        <v>29</v>
      </c>
      <c r="D20" s="9" t="s">
        <v>30</v>
      </c>
      <c r="E20" s="10" t="s">
        <v>24</v>
      </c>
    </row>
    <row r="21" customFormat="false" ht="30" hidden="false" customHeight="true" outlineLevel="0" collapsed="false">
      <c r="B21" s="7" t="n">
        <v>9</v>
      </c>
      <c r="C21" s="8" t="s">
        <v>31</v>
      </c>
      <c r="D21" s="9" t="s">
        <v>32</v>
      </c>
      <c r="E21" s="10" t="s">
        <v>15</v>
      </c>
    </row>
    <row r="22" customFormat="false" ht="30" hidden="false" customHeight="true" outlineLevel="0" collapsed="false">
      <c r="B22" s="7" t="n">
        <v>10</v>
      </c>
      <c r="C22" s="8" t="s">
        <v>33</v>
      </c>
      <c r="D22" s="9" t="s">
        <v>34</v>
      </c>
      <c r="E22" s="10" t="s">
        <v>35</v>
      </c>
    </row>
    <row r="23" customFormat="false" ht="30" hidden="false" customHeight="true" outlineLevel="0" collapsed="false">
      <c r="B23" s="7" t="n">
        <v>11</v>
      </c>
      <c r="C23" s="8" t="s">
        <v>36</v>
      </c>
      <c r="D23" s="9" t="s">
        <v>37</v>
      </c>
      <c r="E23" s="10" t="s">
        <v>24</v>
      </c>
    </row>
    <row r="24" customFormat="false" ht="30" hidden="false" customHeight="true" outlineLevel="0" collapsed="false">
      <c r="B24" s="7" t="n">
        <v>12</v>
      </c>
      <c r="C24" s="8" t="s">
        <v>38</v>
      </c>
      <c r="D24" s="9" t="s">
        <v>39</v>
      </c>
      <c r="E24" s="10" t="s">
        <v>35</v>
      </c>
    </row>
    <row r="25" customFormat="false" ht="30" hidden="false" customHeight="true" outlineLevel="0" collapsed="false">
      <c r="B25" s="7" t="n">
        <v>13</v>
      </c>
      <c r="C25" s="8" t="s">
        <v>40</v>
      </c>
      <c r="D25" s="9" t="s">
        <v>41</v>
      </c>
      <c r="E25" s="10" t="s">
        <v>15</v>
      </c>
    </row>
    <row r="26" customFormat="false" ht="30" hidden="false" customHeight="true" outlineLevel="0" collapsed="false">
      <c r="B26" s="7" t="s">
        <v>42</v>
      </c>
      <c r="C26" s="8" t="s">
        <v>43</v>
      </c>
      <c r="D26" s="9" t="s">
        <v>44</v>
      </c>
      <c r="E26" s="10" t="s">
        <v>45</v>
      </c>
    </row>
    <row r="28" customFormat="false" ht="15" hidden="false" customHeight="false" outlineLevel="0" collapsed="false">
      <c r="B28" s="4" t="s">
        <v>46</v>
      </c>
    </row>
    <row r="29" customFormat="false" ht="24" hidden="false" customHeight="true" outlineLevel="0" collapsed="false">
      <c r="B29" s="6"/>
      <c r="C29" s="6" t="s">
        <v>47</v>
      </c>
      <c r="D29" s="6" t="s">
        <v>48</v>
      </c>
    </row>
    <row r="30" customFormat="false" ht="15" hidden="false" customHeight="false" outlineLevel="0" collapsed="false">
      <c r="B30" s="11"/>
      <c r="C30" s="10" t="s">
        <v>49</v>
      </c>
      <c r="D30" s="10" t="s">
        <v>50</v>
      </c>
    </row>
    <row r="31" customFormat="false" ht="15" hidden="false" customHeight="false" outlineLevel="0" collapsed="false">
      <c r="B31" s="11"/>
      <c r="C31" s="10" t="s">
        <v>51</v>
      </c>
      <c r="D31" s="10" t="s">
        <v>52</v>
      </c>
    </row>
    <row r="32" customFormat="false" ht="15" hidden="false" customHeight="false" outlineLevel="0" collapsed="false">
      <c r="B32" s="11"/>
      <c r="C32" s="10" t="s">
        <v>53</v>
      </c>
      <c r="D32" s="10" t="s">
        <v>54</v>
      </c>
    </row>
    <row r="33" customFormat="false" ht="15" hidden="false" customHeight="false" outlineLevel="0" collapsed="false">
      <c r="B33" s="11"/>
      <c r="C33" s="10" t="s">
        <v>55</v>
      </c>
      <c r="D33" s="10" t="s">
        <v>16</v>
      </c>
    </row>
    <row r="34" customFormat="false" ht="15" hidden="false" customHeight="false" outlineLevel="0" collapsed="false">
      <c r="B34" s="11"/>
      <c r="C34" s="10" t="s">
        <v>56</v>
      </c>
      <c r="D34" s="10" t="s">
        <v>57</v>
      </c>
    </row>
  </sheetData>
  <mergeCells count="5">
    <mergeCell ref="B6:D6"/>
    <mergeCell ref="B7:D7"/>
    <mergeCell ref="B8:D8"/>
    <mergeCell ref="B9:D9"/>
    <mergeCell ref="B10:D10"/>
  </mergeCells>
  <hyperlinks>
    <hyperlink ref="B3" r:id="rId1" display="https://drkhaledtolba.github.io/territory-builder/"/>
    <hyperlink ref="C13" r:id="rId2" location="'1%20References'!A1" display="Cell references and $"/>
    <hyperlink ref="C14" r:id="rId3" location="'2%20SUM'!A1" display="SUM"/>
    <hyperlink ref="C15" r:id="rId4" location="'3%20Arithmetic'!A1" display="Arithmetic and %"/>
    <hyperlink ref="C16" r:id="rId5" location="'4%20COUNTIF'!A1" display="COUNTIF"/>
    <hyperlink ref="C17" r:id="rId6" location="'5%20SUMIF'!A1" display="SUMIF"/>
    <hyperlink ref="C18" r:id="rId7" location="'6%20VLOOKUP'!A1" display="VLOOKUP"/>
    <hyperlink ref="C19" r:id="rId8" location="'7%20IF'!A1" display="IF"/>
    <hyperlink ref="C20" r:id="rId9" location="'8%20IFERROR'!A1" display="IFERROR"/>
    <hyperlink ref="C21" r:id="rId10" location="'9%20AVERAGE%20MIN%20MAX'!A1" display="AVERAGE, MIN, MAX"/>
    <hyperlink ref="C22" r:id="rId11" location="'10%20STDEVP%20CV'!A1" display="STDEVP and CV"/>
    <hyperlink ref="C23" r:id="rId12" location="'11%20Share%20of%20total'!A1" display="Share of a total"/>
    <hyperlink ref="C24" r:id="rId13" location="'12%20Target%20lab'!A1" display="Target formula lab"/>
    <hyperlink ref="C25" r:id="rId14" location="'13%20Excel%20tools'!A1" display="Formats, filters, freeze, colours"/>
    <hyperlink ref="C26" r:id="rId15" location="'Cheat%20sheet'!A1" display="Cheat 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58</v>
      </c>
    </row>
    <row r="2" customFormat="false" ht="15" hidden="false" customHeight="false" outlineLevel="0" collapsed="false">
      <c r="B2" s="2" t="s">
        <v>59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61</v>
      </c>
    </row>
    <row r="6" customFormat="false" ht="30" hidden="false" customHeight="true" outlineLevel="0" collapsed="false">
      <c r="B6" s="14" t="s">
        <v>62</v>
      </c>
      <c r="C6" s="14"/>
      <c r="D6" s="14"/>
      <c r="E6" s="14"/>
      <c r="F6" s="14"/>
      <c r="G6" s="14"/>
      <c r="H6" s="14"/>
    </row>
    <row r="7" customFormat="false" ht="45" hidden="false" customHeight="true" outlineLevel="0" collapsed="false">
      <c r="B7" s="14" t="s">
        <v>63</v>
      </c>
      <c r="C7" s="14"/>
      <c r="D7" s="14"/>
      <c r="E7" s="14"/>
      <c r="F7" s="14"/>
      <c r="G7" s="14"/>
      <c r="H7" s="14"/>
    </row>
    <row r="8" customFormat="false" ht="30" hidden="false" customHeight="true" outlineLevel="0" collapsed="false">
      <c r="B8" s="14" t="s">
        <v>64</v>
      </c>
      <c r="C8" s="14"/>
      <c r="D8" s="14"/>
      <c r="E8" s="14"/>
      <c r="F8" s="14"/>
      <c r="G8" s="14"/>
      <c r="H8" s="14"/>
    </row>
    <row r="10" customFormat="false" ht="15" hidden="false" customHeight="false" outlineLevel="0" collapsed="false">
      <c r="B10" s="4" t="s">
        <v>65</v>
      </c>
    </row>
    <row r="11" customFormat="false" ht="30" hidden="false" customHeight="true" outlineLevel="0" collapsed="false">
      <c r="B11" s="14" t="s">
        <v>66</v>
      </c>
      <c r="C11" s="14"/>
      <c r="D11" s="14"/>
      <c r="E11" s="14"/>
      <c r="F11" s="14"/>
      <c r="G11" s="14"/>
      <c r="H11" s="14"/>
    </row>
    <row r="13" customFormat="false" ht="15" hidden="false" customHeight="false" outlineLevel="0" collapsed="false">
      <c r="B13" s="4" t="s">
        <v>67</v>
      </c>
    </row>
    <row r="14" customFormat="false" ht="24" hidden="false" customHeight="true" outlineLevel="0" collapsed="false">
      <c r="B14" s="6" t="s">
        <v>68</v>
      </c>
      <c r="C14" s="6" t="s">
        <v>69</v>
      </c>
      <c r="D14" s="6" t="s">
        <v>70</v>
      </c>
      <c r="F14" s="15" t="s">
        <v>71</v>
      </c>
    </row>
    <row r="15" customFormat="false" ht="15" hidden="false" customHeight="false" outlineLevel="0" collapsed="false">
      <c r="B15" s="10" t="s">
        <v>72</v>
      </c>
      <c r="C15" s="10" t="s">
        <v>73</v>
      </c>
      <c r="D15" s="16" t="n">
        <v>0.2588</v>
      </c>
      <c r="F15" s="17" t="n">
        <f aca="false">D15/$D$33</f>
        <v>0.018076791439368</v>
      </c>
    </row>
    <row r="16" customFormat="false" ht="15" hidden="false" customHeight="false" outlineLevel="0" collapsed="false">
      <c r="B16" s="10" t="s">
        <v>72</v>
      </c>
      <c r="C16" s="10" t="s">
        <v>74</v>
      </c>
      <c r="D16" s="16" t="n">
        <v>0.5646</v>
      </c>
      <c r="F16" s="17" t="n">
        <f aca="false">D16/$D$33</f>
        <v>0.0394364623132426</v>
      </c>
    </row>
    <row r="17" customFormat="false" ht="15" hidden="false" customHeight="false" outlineLevel="0" collapsed="false">
      <c r="B17" s="10" t="s">
        <v>75</v>
      </c>
      <c r="C17" s="10" t="s">
        <v>76</v>
      </c>
      <c r="D17" s="16" t="n">
        <v>0.9199</v>
      </c>
      <c r="F17" s="17" t="n">
        <f aca="false">D17/$D$33</f>
        <v>0.06425363386814</v>
      </c>
    </row>
    <row r="18" customFormat="false" ht="15" hidden="false" customHeight="false" outlineLevel="0" collapsed="false">
      <c r="B18" s="10" t="s">
        <v>77</v>
      </c>
      <c r="C18" s="10" t="s">
        <v>78</v>
      </c>
      <c r="D18" s="16" t="n">
        <v>1.1872</v>
      </c>
      <c r="F18" s="17" t="n">
        <f aca="false">D18/$D$33</f>
        <v>0.0829241375456635</v>
      </c>
    </row>
    <row r="19" customFormat="false" ht="15" hidden="false" customHeight="false" outlineLevel="0" collapsed="false">
      <c r="B19" s="10" t="s">
        <v>77</v>
      </c>
      <c r="C19" s="10" t="s">
        <v>79</v>
      </c>
      <c r="D19" s="16" t="n">
        <v>0.6967</v>
      </c>
      <c r="F19" s="17" t="n">
        <f aca="false">D19/$D$33</f>
        <v>0.0486634489791642</v>
      </c>
    </row>
    <row r="20" customFormat="false" ht="15" hidden="false" customHeight="false" outlineLevel="0" collapsed="false">
      <c r="B20" s="10" t="s">
        <v>80</v>
      </c>
      <c r="C20" s="10" t="s">
        <v>81</v>
      </c>
      <c r="D20" s="16" t="n">
        <v>0.905</v>
      </c>
      <c r="F20" s="17" t="n">
        <f aca="false">D20/$D$33</f>
        <v>0.0632128912389028</v>
      </c>
    </row>
    <row r="21" customFormat="false" ht="15" hidden="false" customHeight="false" outlineLevel="0" collapsed="false">
      <c r="B21" s="10" t="s">
        <v>82</v>
      </c>
      <c r="C21" s="10" t="s">
        <v>83</v>
      </c>
      <c r="D21" s="16" t="n">
        <v>1.5597</v>
      </c>
      <c r="F21" s="17" t="n">
        <f aca="false">D21/$D$33</f>
        <v>0.108942703276593</v>
      </c>
    </row>
    <row r="22" customFormat="false" ht="15" hidden="false" customHeight="false" outlineLevel="0" collapsed="false">
      <c r="B22" s="10" t="s">
        <v>84</v>
      </c>
      <c r="C22" s="10" t="s">
        <v>85</v>
      </c>
      <c r="D22" s="16" t="n">
        <v>0.6693</v>
      </c>
      <c r="F22" s="17" t="n">
        <f aca="false">D22/$D$33</f>
        <v>0.0467496001173455</v>
      </c>
    </row>
    <row r="23" customFormat="false" ht="15" hidden="false" customHeight="false" outlineLevel="0" collapsed="false">
      <c r="B23" s="10" t="s">
        <v>84</v>
      </c>
      <c r="C23" s="10" t="s">
        <v>86</v>
      </c>
      <c r="D23" s="16" t="n">
        <v>0.5318</v>
      </c>
      <c r="F23" s="17" t="n">
        <f aca="false">D23/$D$33</f>
        <v>0.0371454315589486</v>
      </c>
    </row>
    <row r="24" customFormat="false" ht="15" hidden="false" customHeight="false" outlineLevel="0" collapsed="false">
      <c r="B24" s="10" t="s">
        <v>87</v>
      </c>
      <c r="C24" s="10" t="s">
        <v>88</v>
      </c>
      <c r="D24" s="16" t="n">
        <v>0.8214</v>
      </c>
      <c r="F24" s="17" t="n">
        <f aca="false">D24/$D$33</f>
        <v>0.0573735567553975</v>
      </c>
    </row>
    <row r="25" customFormat="false" ht="15" hidden="false" customHeight="false" outlineLevel="0" collapsed="false">
      <c r="B25" s="10" t="s">
        <v>87</v>
      </c>
      <c r="C25" s="10" t="s">
        <v>89</v>
      </c>
      <c r="D25" s="16" t="n">
        <v>1.0875</v>
      </c>
      <c r="F25" s="17" t="n">
        <f aca="false">D25/$D$33</f>
        <v>0.0759602422345932</v>
      </c>
    </row>
    <row r="26" customFormat="false" ht="15" hidden="false" customHeight="false" outlineLevel="0" collapsed="false">
      <c r="B26" s="10" t="s">
        <v>90</v>
      </c>
      <c r="C26" s="10" t="s">
        <v>91</v>
      </c>
      <c r="D26" s="16" t="n">
        <v>0.904</v>
      </c>
      <c r="F26" s="17" t="n">
        <f aca="false">D26/$D$33</f>
        <v>0.0631430427402963</v>
      </c>
    </row>
    <row r="27" customFormat="false" ht="15" hidden="false" customHeight="false" outlineLevel="0" collapsed="false">
      <c r="B27" s="10" t="s">
        <v>92</v>
      </c>
      <c r="C27" s="10" t="s">
        <v>93</v>
      </c>
      <c r="D27" s="16" t="n">
        <v>0.7165</v>
      </c>
      <c r="F27" s="17" t="n">
        <f aca="false">D27/$D$33</f>
        <v>0.0500464492515733</v>
      </c>
    </row>
    <row r="28" customFormat="false" ht="15" hidden="false" customHeight="false" outlineLevel="0" collapsed="false">
      <c r="B28" s="10" t="s">
        <v>92</v>
      </c>
      <c r="C28" s="10" t="s">
        <v>94</v>
      </c>
      <c r="D28" s="16" t="n">
        <v>1.1775</v>
      </c>
      <c r="F28" s="17" t="n">
        <f aca="false">D28/$D$33</f>
        <v>0.0822466071091802</v>
      </c>
    </row>
    <row r="29" customFormat="false" ht="15" hidden="false" customHeight="false" outlineLevel="0" collapsed="false">
      <c r="B29" s="10" t="s">
        <v>92</v>
      </c>
      <c r="C29" s="10" t="s">
        <v>95</v>
      </c>
      <c r="D29" s="16" t="n">
        <v>0.6319</v>
      </c>
      <c r="F29" s="17" t="n">
        <f aca="false">D29/$D$33</f>
        <v>0.0441372662694615</v>
      </c>
    </row>
    <row r="30" customFormat="false" ht="15" hidden="false" customHeight="false" outlineLevel="0" collapsed="false">
      <c r="B30" s="10" t="s">
        <v>96</v>
      </c>
      <c r="C30" s="10" t="s">
        <v>97</v>
      </c>
      <c r="D30" s="16" t="n">
        <v>0.817</v>
      </c>
      <c r="F30" s="17" t="n">
        <f aca="false">D30/$D$33</f>
        <v>0.0570662233615288</v>
      </c>
    </row>
    <row r="31" customFormat="false" ht="15" hidden="false" customHeight="false" outlineLevel="0" collapsed="false">
      <c r="B31" s="10" t="s">
        <v>96</v>
      </c>
      <c r="C31" s="10" t="s">
        <v>98</v>
      </c>
      <c r="D31" s="16" t="n">
        <v>0.8679</v>
      </c>
      <c r="F31" s="17" t="n">
        <f aca="false">D31/$D$33</f>
        <v>0.0606215119406008</v>
      </c>
    </row>
    <row r="33" customFormat="false" ht="15" hidden="false" customHeight="false" outlineLevel="0" collapsed="false">
      <c r="B33" s="18" t="s">
        <v>99</v>
      </c>
      <c r="C33" s="11"/>
      <c r="D33" s="16" t="n">
        <f aca="false">SUM(D15:D31)</f>
        <v>14.3167</v>
      </c>
    </row>
    <row r="35" customFormat="false" ht="45" hidden="false" customHeight="true" outlineLevel="0" collapsed="false">
      <c r="B35" s="14" t="s">
        <v>100</v>
      </c>
      <c r="C35" s="14"/>
      <c r="D35" s="14"/>
      <c r="E35" s="14"/>
      <c r="F35" s="14"/>
      <c r="G35" s="14"/>
      <c r="H35" s="14"/>
    </row>
    <row r="37" customFormat="false" ht="15" hidden="false" customHeight="false" outlineLevel="0" collapsed="false">
      <c r="B37" s="4" t="s">
        <v>101</v>
      </c>
    </row>
    <row r="38" customFormat="false" ht="31.5" hidden="false" customHeight="true" outlineLevel="0" collapsed="false">
      <c r="B38" s="14" t="s">
        <v>102</v>
      </c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B39" s="19" t="s">
        <v>103</v>
      </c>
      <c r="C39" s="20"/>
      <c r="D39" s="20"/>
      <c r="E39" s="21" t="str">
        <f aca="false">IF(C39="","← type your formula in the yellow cell",IF(ISNUMBER(C39),IF(ROUND(C39,4)=ROUND(J39,4),"✓ Correct! Well done","✗ Not yet: see the hint below"),IF(C39=J39,"✓ Correct! Well done","✗ Not yet: see the hint below")))</f>
        <v>← type your formula in the yellow cell</v>
      </c>
      <c r="F39" s="21"/>
      <c r="G39" s="21"/>
      <c r="H39" s="21"/>
      <c r="J39" s="22" t="n">
        <f aca="false">D17/D33</f>
        <v>0.06425363386814</v>
      </c>
    </row>
    <row r="40" customFormat="false" ht="30" hidden="false" customHeight="true" outlineLevel="0" collapsed="false">
      <c r="B40" s="14" t="s">
        <v>104</v>
      </c>
      <c r="C40" s="14"/>
      <c r="D40" s="14"/>
      <c r="E40" s="14"/>
      <c r="F40" s="14"/>
      <c r="G40" s="14"/>
      <c r="H40" s="14"/>
    </row>
    <row r="42" customFormat="false" ht="15" hidden="false" customHeight="false" outlineLevel="0" collapsed="false">
      <c r="B42" s="4" t="s">
        <v>105</v>
      </c>
    </row>
    <row r="43" customFormat="false" ht="30" hidden="false" customHeight="true" outlineLevel="0" collapsed="false">
      <c r="B43" s="14" t="s">
        <v>106</v>
      </c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B44" s="14" t="s">
        <v>107</v>
      </c>
      <c r="C44" s="14"/>
      <c r="D44" s="14"/>
      <c r="E44" s="14"/>
      <c r="F44" s="14"/>
      <c r="G44" s="14"/>
      <c r="H44" s="14"/>
    </row>
    <row r="45" customFormat="false" ht="30" hidden="false" customHeight="true" outlineLevel="0" collapsed="false">
      <c r="B45" s="14" t="s">
        <v>108</v>
      </c>
      <c r="C45" s="14"/>
      <c r="D45" s="14"/>
      <c r="E45" s="14"/>
      <c r="F45" s="14"/>
      <c r="G45" s="14"/>
      <c r="H45" s="14"/>
    </row>
  </sheetData>
  <mergeCells count="12">
    <mergeCell ref="B6:H6"/>
    <mergeCell ref="B7:H7"/>
    <mergeCell ref="B8:H8"/>
    <mergeCell ref="B11:H11"/>
    <mergeCell ref="B35:H35"/>
    <mergeCell ref="B38:H38"/>
    <mergeCell ref="C39:D39"/>
    <mergeCell ref="E39:H39"/>
    <mergeCell ref="B40:H40"/>
    <mergeCell ref="B43:H43"/>
    <mergeCell ref="B44:H44"/>
    <mergeCell ref="B45:H45"/>
  </mergeCells>
  <conditionalFormatting sqref="E39">
    <cfRule type="expression" priority="2" aboveAverage="0" equalAverage="0" bottom="0" percent="0" rank="0" text="" dxfId="0">
      <formula>LEFT(E39,1)="✓"</formula>
    </cfRule>
    <cfRule type="expression" priority="3" aboveAverage="0" equalAverage="0" bottom="0" percent="0" rank="0" text="" dxfId="1">
      <formula>LEFT(E39,1)="✗"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109</v>
      </c>
    </row>
    <row r="2" customFormat="false" ht="15" hidden="false" customHeight="false" outlineLevel="0" collapsed="false">
      <c r="B2" s="2" t="s">
        <v>110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15" hidden="false" customHeight="true" outlineLevel="0" collapsed="false">
      <c r="B6" s="14" t="s">
        <v>112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114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117</v>
      </c>
      <c r="C11" s="9" t="s">
        <v>118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119</v>
      </c>
      <c r="C12" s="9" t="s">
        <v>120</v>
      </c>
      <c r="D12" s="9"/>
      <c r="E12" s="9"/>
      <c r="F12" s="9"/>
      <c r="G12" s="9"/>
      <c r="H12" s="9"/>
    </row>
    <row r="14" customFormat="false" ht="15" hidden="false" customHeight="false" outlineLevel="0" collapsed="false">
      <c r="B14" s="4" t="s">
        <v>65</v>
      </c>
    </row>
    <row r="15" customFormat="false" ht="30" hidden="false" customHeight="true" outlineLevel="0" collapsed="false">
      <c r="B15" s="14" t="s">
        <v>121</v>
      </c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B17" s="4" t="s">
        <v>122</v>
      </c>
    </row>
    <row r="18" customFormat="false" ht="24" hidden="false" customHeight="true" outlineLevel="0" collapsed="false">
      <c r="B18" s="6" t="s">
        <v>68</v>
      </c>
      <c r="C18" s="6" t="s">
        <v>69</v>
      </c>
      <c r="D18" s="6" t="s">
        <v>70</v>
      </c>
    </row>
    <row r="19" customFormat="false" ht="15" hidden="false" customHeight="false" outlineLevel="0" collapsed="false">
      <c r="B19" s="10" t="s">
        <v>72</v>
      </c>
      <c r="C19" s="10" t="s">
        <v>73</v>
      </c>
      <c r="D19" s="16" t="n">
        <v>0.2588</v>
      </c>
    </row>
    <row r="20" customFormat="false" ht="15" hidden="false" customHeight="false" outlineLevel="0" collapsed="false">
      <c r="B20" s="10" t="s">
        <v>72</v>
      </c>
      <c r="C20" s="10" t="s">
        <v>74</v>
      </c>
      <c r="D20" s="16" t="n">
        <v>0.5646</v>
      </c>
    </row>
    <row r="21" customFormat="false" ht="15" hidden="false" customHeight="false" outlineLevel="0" collapsed="false">
      <c r="B21" s="10" t="s">
        <v>75</v>
      </c>
      <c r="C21" s="10" t="s">
        <v>76</v>
      </c>
      <c r="D21" s="16" t="n">
        <v>0.9199</v>
      </c>
    </row>
    <row r="22" customFormat="false" ht="15" hidden="false" customHeight="false" outlineLevel="0" collapsed="false">
      <c r="B22" s="10" t="s">
        <v>77</v>
      </c>
      <c r="C22" s="10" t="s">
        <v>78</v>
      </c>
      <c r="D22" s="16" t="n">
        <v>1.1872</v>
      </c>
    </row>
    <row r="23" customFormat="false" ht="15" hidden="false" customHeight="false" outlineLevel="0" collapsed="false">
      <c r="B23" s="10" t="s">
        <v>77</v>
      </c>
      <c r="C23" s="10" t="s">
        <v>79</v>
      </c>
      <c r="D23" s="16" t="n">
        <v>0.6967</v>
      </c>
    </row>
    <row r="24" customFormat="false" ht="15" hidden="false" customHeight="false" outlineLevel="0" collapsed="false">
      <c r="B24" s="10" t="s">
        <v>80</v>
      </c>
      <c r="C24" s="10" t="s">
        <v>81</v>
      </c>
      <c r="D24" s="16" t="n">
        <v>0.905</v>
      </c>
    </row>
    <row r="25" customFormat="false" ht="15" hidden="false" customHeight="false" outlineLevel="0" collapsed="false">
      <c r="B25" s="10" t="s">
        <v>82</v>
      </c>
      <c r="C25" s="10" t="s">
        <v>83</v>
      </c>
      <c r="D25" s="16" t="n">
        <v>1.5597</v>
      </c>
    </row>
    <row r="26" customFormat="false" ht="15" hidden="false" customHeight="false" outlineLevel="0" collapsed="false">
      <c r="B26" s="10" t="s">
        <v>84</v>
      </c>
      <c r="C26" s="10" t="s">
        <v>85</v>
      </c>
      <c r="D26" s="16" t="n">
        <v>0.6693</v>
      </c>
    </row>
    <row r="27" customFormat="false" ht="15" hidden="false" customHeight="false" outlineLevel="0" collapsed="false">
      <c r="B27" s="10" t="s">
        <v>84</v>
      </c>
      <c r="C27" s="10" t="s">
        <v>86</v>
      </c>
      <c r="D27" s="16" t="n">
        <v>0.5318</v>
      </c>
    </row>
    <row r="28" customFormat="false" ht="15" hidden="false" customHeight="false" outlineLevel="0" collapsed="false">
      <c r="B28" s="10" t="s">
        <v>87</v>
      </c>
      <c r="C28" s="10" t="s">
        <v>88</v>
      </c>
      <c r="D28" s="16" t="n">
        <v>0.8214</v>
      </c>
    </row>
    <row r="29" customFormat="false" ht="15" hidden="false" customHeight="false" outlineLevel="0" collapsed="false">
      <c r="B29" s="10" t="s">
        <v>87</v>
      </c>
      <c r="C29" s="10" t="s">
        <v>89</v>
      </c>
      <c r="D29" s="16" t="n">
        <v>1.0875</v>
      </c>
    </row>
    <row r="30" customFormat="false" ht="15" hidden="false" customHeight="false" outlineLevel="0" collapsed="false">
      <c r="B30" s="10" t="s">
        <v>90</v>
      </c>
      <c r="C30" s="10" t="s">
        <v>91</v>
      </c>
      <c r="D30" s="16" t="n">
        <v>0.904</v>
      </c>
    </row>
    <row r="31" customFormat="false" ht="15" hidden="false" customHeight="false" outlineLevel="0" collapsed="false">
      <c r="B31" s="10" t="s">
        <v>92</v>
      </c>
      <c r="C31" s="10" t="s">
        <v>93</v>
      </c>
      <c r="D31" s="16" t="n">
        <v>0.7165</v>
      </c>
    </row>
    <row r="32" customFormat="false" ht="15" hidden="false" customHeight="false" outlineLevel="0" collapsed="false">
      <c r="B32" s="10" t="s">
        <v>92</v>
      </c>
      <c r="C32" s="10" t="s">
        <v>94</v>
      </c>
      <c r="D32" s="16" t="n">
        <v>1.1775</v>
      </c>
    </row>
    <row r="33" customFormat="false" ht="15" hidden="false" customHeight="false" outlineLevel="0" collapsed="false">
      <c r="B33" s="10" t="s">
        <v>92</v>
      </c>
      <c r="C33" s="10" t="s">
        <v>95</v>
      </c>
      <c r="D33" s="16" t="n">
        <v>0.6319</v>
      </c>
    </row>
    <row r="34" customFormat="false" ht="15" hidden="false" customHeight="false" outlineLevel="0" collapsed="false">
      <c r="B34" s="10" t="s">
        <v>96</v>
      </c>
      <c r="C34" s="10" t="s">
        <v>97</v>
      </c>
      <c r="D34" s="16" t="n">
        <v>0.817</v>
      </c>
    </row>
    <row r="35" customFormat="false" ht="15" hidden="false" customHeight="false" outlineLevel="0" collapsed="false">
      <c r="B35" s="10" t="s">
        <v>96</v>
      </c>
      <c r="C35" s="10" t="s">
        <v>98</v>
      </c>
      <c r="D35" s="16" t="n">
        <v>0.8679</v>
      </c>
    </row>
    <row r="37" customFormat="false" ht="24" hidden="false" customHeight="true" outlineLevel="0" collapsed="false">
      <c r="B37" s="6" t="s">
        <v>123</v>
      </c>
      <c r="C37" s="6" t="s">
        <v>124</v>
      </c>
      <c r="D37" s="6"/>
      <c r="E37" s="6"/>
      <c r="F37" s="6"/>
    </row>
    <row r="38" customFormat="false" ht="30" hidden="false" customHeight="true" outlineLevel="0" collapsed="false">
      <c r="B38" s="9" t="s">
        <v>125</v>
      </c>
      <c r="C38" s="25" t="s">
        <v>126</v>
      </c>
      <c r="D38" s="25"/>
      <c r="E38" s="25"/>
      <c r="F38" s="25"/>
      <c r="G38" s="26" t="n">
        <f aca="false">SUM(D19:D35)</f>
        <v>14.3167</v>
      </c>
    </row>
    <row r="39" customFormat="false" ht="30" hidden="false" customHeight="true" outlineLevel="0" collapsed="false">
      <c r="B39" s="9" t="s">
        <v>127</v>
      </c>
      <c r="C39" s="25" t="s">
        <v>128</v>
      </c>
      <c r="D39" s="25"/>
      <c r="E39" s="25"/>
      <c r="F39" s="25"/>
      <c r="G39" s="26" t="n">
        <f aca="false">SUM(D19:D30)</f>
        <v>10.1059</v>
      </c>
    </row>
    <row r="40" customFormat="false" ht="30" hidden="false" customHeight="true" outlineLevel="0" collapsed="false">
      <c r="B40" s="9" t="s">
        <v>129</v>
      </c>
      <c r="C40" s="25" t="s">
        <v>130</v>
      </c>
      <c r="D40" s="25"/>
      <c r="E40" s="25"/>
      <c r="F40" s="25"/>
      <c r="G40" s="26" t="n">
        <f aca="false">SUM(D19:D20,D34:D35)</f>
        <v>2.5083</v>
      </c>
    </row>
    <row r="42" customFormat="false" ht="15" hidden="false" customHeight="false" outlineLevel="0" collapsed="false">
      <c r="B42" s="4" t="s">
        <v>101</v>
      </c>
    </row>
    <row r="43" customFormat="false" ht="31.5" hidden="false" customHeight="true" outlineLevel="0" collapsed="false">
      <c r="B43" s="14" t="s">
        <v>131</v>
      </c>
      <c r="C43" s="14"/>
      <c r="D43" s="14"/>
      <c r="E43" s="14"/>
      <c r="F43" s="14"/>
      <c r="G43" s="14"/>
      <c r="H43" s="14"/>
    </row>
    <row r="44" customFormat="false" ht="15" hidden="false" customHeight="false" outlineLevel="0" collapsed="false">
      <c r="B44" s="19" t="s">
        <v>103</v>
      </c>
      <c r="C44" s="27"/>
      <c r="D44" s="27"/>
      <c r="E44" s="21" t="str">
        <f aca="false">IF(C44="","← type your formula in the yellow cell",IF(ISNUMBER(C44),IF(ROUND(C44,4)=ROUND(J44,4),"✓ Correct! Well done","✗ Not yet: see the hint below"),IF(C44=J44,"✓ Correct! Well done","✗ Not yet: see the hint below")))</f>
        <v>← type your formula in the yellow cell</v>
      </c>
      <c r="F44" s="21"/>
      <c r="G44" s="21"/>
      <c r="H44" s="21"/>
      <c r="J44" s="28" t="n">
        <f aca="false">SUM(D30:D35)</f>
        <v>5.1148</v>
      </c>
    </row>
    <row r="45" customFormat="false" ht="30" hidden="false" customHeight="true" outlineLevel="0" collapsed="false">
      <c r="B45" s="14" t="s">
        <v>132</v>
      </c>
      <c r="C45" s="14"/>
      <c r="D45" s="14"/>
      <c r="E45" s="14"/>
      <c r="F45" s="14"/>
      <c r="G45" s="14"/>
      <c r="H45" s="14"/>
    </row>
    <row r="47" customFormat="false" ht="15" hidden="false" customHeight="false" outlineLevel="0" collapsed="false">
      <c r="B47" s="4" t="s">
        <v>105</v>
      </c>
    </row>
    <row r="48" customFormat="false" ht="30" hidden="false" customHeight="true" outlineLevel="0" collapsed="false">
      <c r="B48" s="14" t="s">
        <v>133</v>
      </c>
      <c r="C48" s="14"/>
      <c r="D48" s="14"/>
      <c r="E48" s="14"/>
      <c r="F48" s="14"/>
      <c r="G48" s="14"/>
      <c r="H48" s="14"/>
    </row>
    <row r="49" customFormat="false" ht="15" hidden="false" customHeight="true" outlineLevel="0" collapsed="false">
      <c r="B49" s="14" t="s">
        <v>134</v>
      </c>
      <c r="C49" s="14"/>
      <c r="D49" s="14"/>
      <c r="E49" s="14"/>
      <c r="F49" s="14"/>
      <c r="G49" s="14"/>
      <c r="H49" s="14"/>
    </row>
  </sheetData>
  <mergeCells count="16">
    <mergeCell ref="B6:H6"/>
    <mergeCell ref="B9:H9"/>
    <mergeCell ref="C10:H10"/>
    <mergeCell ref="C11:H11"/>
    <mergeCell ref="C12:H12"/>
    <mergeCell ref="B15:H15"/>
    <mergeCell ref="C37:F37"/>
    <mergeCell ref="C38:F38"/>
    <mergeCell ref="C39:F39"/>
    <mergeCell ref="C40:F40"/>
    <mergeCell ref="B43:H43"/>
    <mergeCell ref="C44:D44"/>
    <mergeCell ref="E44:H44"/>
    <mergeCell ref="B45:H45"/>
    <mergeCell ref="B48:H48"/>
    <mergeCell ref="B49:H49"/>
  </mergeCells>
  <conditionalFormatting sqref="E44">
    <cfRule type="expression" priority="2" aboveAverage="0" equalAverage="0" bottom="0" percent="0" rank="0" text="" dxfId="0">
      <formula>LEFT(E44,1)="✓"</formula>
    </cfRule>
    <cfRule type="expression" priority="3" aboveAverage="0" equalAverage="0" bottom="0" percent="0" rank="0" text="" dxfId="1">
      <formula>LEFT(E44,1)="✗"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135</v>
      </c>
    </row>
    <row r="2" customFormat="false" ht="15" hidden="false" customHeight="false" outlineLevel="0" collapsed="false">
      <c r="B2" s="2" t="s">
        <v>136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61</v>
      </c>
    </row>
    <row r="6" customFormat="false" ht="30" hidden="false" customHeight="true" outlineLevel="0" collapsed="false">
      <c r="B6" s="14" t="s">
        <v>137</v>
      </c>
      <c r="C6" s="14"/>
      <c r="D6" s="14"/>
      <c r="E6" s="14"/>
      <c r="F6" s="14"/>
      <c r="G6" s="14"/>
      <c r="H6" s="14"/>
    </row>
    <row r="7" customFormat="false" ht="30" hidden="false" customHeight="true" outlineLevel="0" collapsed="false">
      <c r="B7" s="14" t="s">
        <v>138</v>
      </c>
      <c r="C7" s="14"/>
      <c r="D7" s="14"/>
      <c r="E7" s="14"/>
      <c r="F7" s="14"/>
      <c r="G7" s="14"/>
      <c r="H7" s="14"/>
    </row>
    <row r="9" customFormat="false" ht="15" hidden="false" customHeight="false" outlineLevel="0" collapsed="false">
      <c r="B9" s="4" t="s">
        <v>65</v>
      </c>
    </row>
    <row r="10" customFormat="false" ht="30" hidden="false" customHeight="true" outlineLevel="0" collapsed="false">
      <c r="B10" s="14" t="s">
        <v>139</v>
      </c>
      <c r="C10" s="14"/>
      <c r="D10" s="14"/>
      <c r="E10" s="14"/>
      <c r="F10" s="14"/>
      <c r="G10" s="14"/>
      <c r="H10" s="14"/>
    </row>
    <row r="12" customFormat="false" ht="15" hidden="false" customHeight="false" outlineLevel="0" collapsed="false">
      <c r="B12" s="4" t="s">
        <v>140</v>
      </c>
    </row>
    <row r="13" customFormat="false" ht="24" hidden="false" customHeight="true" outlineLevel="0" collapsed="false">
      <c r="B13" s="6" t="s">
        <v>141</v>
      </c>
      <c r="C13" s="6" t="s">
        <v>142</v>
      </c>
    </row>
    <row r="14" customFormat="false" ht="15" hidden="false" customHeight="false" outlineLevel="0" collapsed="false">
      <c r="B14" s="10" t="s">
        <v>143</v>
      </c>
      <c r="C14" s="29" t="n">
        <v>85</v>
      </c>
    </row>
    <row r="15" customFormat="false" ht="15" hidden="false" customHeight="false" outlineLevel="0" collapsed="false">
      <c r="B15" s="10" t="s">
        <v>144</v>
      </c>
      <c r="C15" s="30" t="n">
        <v>420000</v>
      </c>
    </row>
    <row r="16" customFormat="false" ht="15" hidden="false" customHeight="false" outlineLevel="0" collapsed="false">
      <c r="B16" s="10" t="s">
        <v>145</v>
      </c>
      <c r="C16" s="31" t="n">
        <v>60</v>
      </c>
    </row>
    <row r="17" customFormat="false" ht="15" hidden="false" customHeight="false" outlineLevel="0" collapsed="false">
      <c r="B17" s="10" t="s">
        <v>146</v>
      </c>
      <c r="C17" s="31" t="n">
        <v>40</v>
      </c>
    </row>
    <row r="18" customFormat="false" ht="15" hidden="false" customHeight="false" outlineLevel="0" collapsed="false">
      <c r="B18" s="10" t="s">
        <v>147</v>
      </c>
      <c r="C18" s="32" t="n">
        <v>0.031</v>
      </c>
    </row>
    <row r="19" customFormat="false" ht="15" hidden="false" customHeight="false" outlineLevel="0" collapsed="false">
      <c r="B19" s="10" t="s">
        <v>148</v>
      </c>
      <c r="C19" s="32" t="n">
        <v>0.025</v>
      </c>
    </row>
    <row r="21" customFormat="false" ht="24" hidden="false" customHeight="true" outlineLevel="0" collapsed="false">
      <c r="B21" s="6" t="s">
        <v>123</v>
      </c>
      <c r="C21" s="6" t="s">
        <v>124</v>
      </c>
      <c r="D21" s="6"/>
      <c r="E21" s="6"/>
      <c r="F21" s="6"/>
    </row>
    <row r="22" customFormat="false" ht="30" hidden="false" customHeight="true" outlineLevel="0" collapsed="false">
      <c r="B22" s="9" t="s">
        <v>149</v>
      </c>
      <c r="C22" s="25" t="s">
        <v>150</v>
      </c>
      <c r="D22" s="25"/>
      <c r="E22" s="25"/>
      <c r="F22" s="25"/>
      <c r="G22" s="33" t="n">
        <f aca="false">C14*C15</f>
        <v>35700000</v>
      </c>
    </row>
    <row r="23" customFormat="false" ht="30" hidden="false" customHeight="true" outlineLevel="0" collapsed="false">
      <c r="B23" s="9" t="s">
        <v>151</v>
      </c>
      <c r="C23" s="25" t="s">
        <v>152</v>
      </c>
      <c r="D23" s="25"/>
      <c r="E23" s="25"/>
      <c r="F23" s="25"/>
      <c r="G23" s="34" t="n">
        <f aca="false">(C16*C18+C17*C19)/100</f>
        <v>0.0286</v>
      </c>
    </row>
    <row r="24" customFormat="false" ht="30" hidden="false" customHeight="true" outlineLevel="0" collapsed="false">
      <c r="B24" s="9" t="s">
        <v>153</v>
      </c>
      <c r="C24" s="25" t="s">
        <v>154</v>
      </c>
      <c r="D24" s="25"/>
      <c r="E24" s="25"/>
      <c r="F24" s="25"/>
      <c r="G24" s="33" t="n">
        <f aca="false">C14*C15*G23</f>
        <v>1021020</v>
      </c>
    </row>
    <row r="25" customFormat="false" ht="30" hidden="false" customHeight="true" outlineLevel="0" collapsed="false">
      <c r="B25" s="9" t="s">
        <v>155</v>
      </c>
      <c r="C25" s="25" t="s">
        <v>156</v>
      </c>
      <c r="D25" s="25"/>
      <c r="E25" s="25"/>
      <c r="F25" s="25"/>
      <c r="G25" s="33" t="n">
        <f aca="false">G24/C14</f>
        <v>12012</v>
      </c>
    </row>
    <row r="27" customFormat="false" ht="15" hidden="false" customHeight="true" outlineLevel="0" collapsed="false">
      <c r="B27" s="35" t="s">
        <v>157</v>
      </c>
      <c r="C27" s="35"/>
      <c r="D27" s="35"/>
      <c r="E27" s="35"/>
      <c r="F27" s="35"/>
      <c r="G27" s="35"/>
      <c r="H27" s="35"/>
    </row>
    <row r="29" customFormat="false" ht="15" hidden="false" customHeight="false" outlineLevel="0" collapsed="false">
      <c r="B29" s="4" t="s">
        <v>101</v>
      </c>
    </row>
    <row r="30" customFormat="false" ht="31.5" hidden="false" customHeight="true" outlineLevel="0" collapsed="false">
      <c r="B30" s="14" t="s">
        <v>158</v>
      </c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B31" s="19" t="s">
        <v>103</v>
      </c>
      <c r="C31" s="36"/>
      <c r="D31" s="36"/>
      <c r="E31" s="21" t="str">
        <f aca="false">IF(C31="","← type your formula in the yellow cell",IF(ISNUMBER(C31),IF(ROUND(C31,4)=ROUND(J31,4),"✓ Correct! Well done","✗ Not yet: see the hint below"),IF(C31=J31,"✓ Correct! Well done","✗ Not yet: see the hint below")))</f>
        <v>← type your formula in the yellow cell</v>
      </c>
      <c r="F31" s="21"/>
      <c r="G31" s="21"/>
      <c r="H31" s="21"/>
      <c r="J31" s="37" t="n">
        <f aca="false">C14*C15*C18</f>
        <v>1106700</v>
      </c>
    </row>
    <row r="32" customFormat="false" ht="30" hidden="false" customHeight="true" outlineLevel="0" collapsed="false">
      <c r="B32" s="14" t="s">
        <v>159</v>
      </c>
      <c r="C32" s="14"/>
      <c r="D32" s="14"/>
      <c r="E32" s="14"/>
      <c r="F32" s="14"/>
      <c r="G32" s="14"/>
      <c r="H32" s="14"/>
    </row>
    <row r="34" customFormat="false" ht="15" hidden="false" customHeight="false" outlineLevel="0" collapsed="false">
      <c r="B34" s="4" t="s">
        <v>105</v>
      </c>
    </row>
    <row r="35" customFormat="false" ht="15" hidden="false" customHeight="true" outlineLevel="0" collapsed="false">
      <c r="B35" s="14" t="s">
        <v>160</v>
      </c>
      <c r="C35" s="14"/>
      <c r="D35" s="14"/>
      <c r="E35" s="14"/>
      <c r="F35" s="14"/>
      <c r="G35" s="14"/>
      <c r="H35" s="14"/>
    </row>
    <row r="36" customFormat="false" ht="30" hidden="false" customHeight="true" outlineLevel="0" collapsed="false">
      <c r="B36" s="14" t="s">
        <v>161</v>
      </c>
      <c r="C36" s="14"/>
      <c r="D36" s="14"/>
      <c r="E36" s="14"/>
      <c r="F36" s="14"/>
      <c r="G36" s="14"/>
      <c r="H36" s="14"/>
    </row>
  </sheetData>
  <mergeCells count="15">
    <mergeCell ref="B6:H6"/>
    <mergeCell ref="B7:H7"/>
    <mergeCell ref="B10:H10"/>
    <mergeCell ref="C21:F21"/>
    <mergeCell ref="C22:F22"/>
    <mergeCell ref="C23:F23"/>
    <mergeCell ref="C24:F24"/>
    <mergeCell ref="C25:F25"/>
    <mergeCell ref="B27:H27"/>
    <mergeCell ref="B30:H30"/>
    <mergeCell ref="C31:D31"/>
    <mergeCell ref="E31:H31"/>
    <mergeCell ref="B32:H32"/>
    <mergeCell ref="B35:H35"/>
    <mergeCell ref="B36:H36"/>
  </mergeCells>
  <conditionalFormatting sqref="E31">
    <cfRule type="expression" priority="2" aboveAverage="0" equalAverage="0" bottom="0" percent="0" rank="0" text="" dxfId="0">
      <formula>LEFT(E31,1)="✓"</formula>
    </cfRule>
    <cfRule type="expression" priority="3" aboveAverage="0" equalAverage="0" bottom="0" percent="0" rank="0" text="" dxfId="1">
      <formula>LEFT(E31,1)="✗"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162</v>
      </c>
    </row>
    <row r="2" customFormat="false" ht="15" hidden="false" customHeight="false" outlineLevel="0" collapsed="false">
      <c r="B2" s="2" t="s">
        <v>163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15" hidden="false" customHeight="true" outlineLevel="0" collapsed="false">
      <c r="B6" s="14" t="s">
        <v>164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165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166</v>
      </c>
      <c r="C11" s="9" t="s">
        <v>167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168</v>
      </c>
      <c r="C12" s="9" t="s">
        <v>169</v>
      </c>
      <c r="D12" s="9"/>
      <c r="E12" s="9"/>
      <c r="F12" s="9"/>
      <c r="G12" s="9"/>
      <c r="H12" s="9"/>
    </row>
    <row r="14" customFormat="false" ht="15" hidden="false" customHeight="false" outlineLevel="0" collapsed="false">
      <c r="B14" s="4" t="s">
        <v>65</v>
      </c>
    </row>
    <row r="15" customFormat="false" ht="30" hidden="false" customHeight="true" outlineLevel="0" collapsed="false">
      <c r="B15" s="14" t="s">
        <v>170</v>
      </c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B17" s="4" t="s">
        <v>122</v>
      </c>
    </row>
    <row r="18" customFormat="false" ht="24" hidden="false" customHeight="true" outlineLevel="0" collapsed="false">
      <c r="B18" s="6" t="s">
        <v>68</v>
      </c>
      <c r="C18" s="6" t="s">
        <v>69</v>
      </c>
      <c r="D18" s="6" t="s">
        <v>70</v>
      </c>
      <c r="E18" s="6" t="s">
        <v>171</v>
      </c>
    </row>
    <row r="19" customFormat="false" ht="15" hidden="false" customHeight="false" outlineLevel="0" collapsed="false">
      <c r="B19" s="10" t="s">
        <v>72</v>
      </c>
      <c r="C19" s="10" t="s">
        <v>73</v>
      </c>
      <c r="D19" s="16" t="n">
        <v>0.2588</v>
      </c>
      <c r="E19" s="10" t="s">
        <v>172</v>
      </c>
    </row>
    <row r="20" customFormat="false" ht="15" hidden="false" customHeight="false" outlineLevel="0" collapsed="false">
      <c r="B20" s="10" t="s">
        <v>72</v>
      </c>
      <c r="C20" s="10" t="s">
        <v>74</v>
      </c>
      <c r="D20" s="16" t="n">
        <v>0.5646</v>
      </c>
      <c r="E20" s="10" t="s">
        <v>172</v>
      </c>
    </row>
    <row r="21" customFormat="false" ht="15" hidden="false" customHeight="false" outlineLevel="0" collapsed="false">
      <c r="B21" s="10" t="s">
        <v>75</v>
      </c>
      <c r="C21" s="10" t="s">
        <v>76</v>
      </c>
      <c r="D21" s="16" t="n">
        <v>0.9199</v>
      </c>
      <c r="E21" s="10" t="s">
        <v>172</v>
      </c>
    </row>
    <row r="22" customFormat="false" ht="15" hidden="false" customHeight="false" outlineLevel="0" collapsed="false">
      <c r="B22" s="10" t="s">
        <v>77</v>
      </c>
      <c r="C22" s="10" t="s">
        <v>78</v>
      </c>
      <c r="D22" s="16" t="n">
        <v>1.1872</v>
      </c>
      <c r="E22" s="10" t="s">
        <v>173</v>
      </c>
    </row>
    <row r="23" customFormat="false" ht="15" hidden="false" customHeight="false" outlineLevel="0" collapsed="false">
      <c r="B23" s="10" t="s">
        <v>77</v>
      </c>
      <c r="C23" s="10" t="s">
        <v>79</v>
      </c>
      <c r="D23" s="16" t="n">
        <v>0.6967</v>
      </c>
      <c r="E23" s="10" t="s">
        <v>173</v>
      </c>
    </row>
    <row r="24" customFormat="false" ht="15" hidden="false" customHeight="false" outlineLevel="0" collapsed="false">
      <c r="B24" s="10" t="s">
        <v>80</v>
      </c>
      <c r="C24" s="10" t="s">
        <v>81</v>
      </c>
      <c r="D24" s="16" t="n">
        <v>0.905</v>
      </c>
      <c r="E24" s="10" t="s">
        <v>173</v>
      </c>
    </row>
    <row r="25" customFormat="false" ht="15" hidden="false" customHeight="false" outlineLevel="0" collapsed="false">
      <c r="B25" s="10" t="s">
        <v>82</v>
      </c>
      <c r="C25" s="10" t="s">
        <v>83</v>
      </c>
      <c r="D25" s="16" t="n">
        <v>1.5597</v>
      </c>
      <c r="E25" s="10" t="s">
        <v>174</v>
      </c>
    </row>
    <row r="26" customFormat="false" ht="15" hidden="false" customHeight="false" outlineLevel="0" collapsed="false">
      <c r="B26" s="10" t="s">
        <v>84</v>
      </c>
      <c r="C26" s="10" t="s">
        <v>85</v>
      </c>
      <c r="D26" s="16" t="n">
        <v>0.6693</v>
      </c>
      <c r="E26" s="10" t="s">
        <v>174</v>
      </c>
    </row>
    <row r="27" customFormat="false" ht="15" hidden="false" customHeight="false" outlineLevel="0" collapsed="false">
      <c r="B27" s="10" t="s">
        <v>84</v>
      </c>
      <c r="C27" s="10" t="s">
        <v>86</v>
      </c>
      <c r="D27" s="16" t="n">
        <v>0.5318</v>
      </c>
      <c r="E27" s="10" t="s">
        <v>174</v>
      </c>
    </row>
    <row r="28" customFormat="false" ht="15" hidden="false" customHeight="false" outlineLevel="0" collapsed="false">
      <c r="B28" s="10" t="s">
        <v>87</v>
      </c>
      <c r="C28" s="10" t="s">
        <v>88</v>
      </c>
      <c r="D28" s="16" t="n">
        <v>0.8214</v>
      </c>
      <c r="E28" s="10" t="s">
        <v>175</v>
      </c>
    </row>
    <row r="29" customFormat="false" ht="15" hidden="false" customHeight="false" outlineLevel="0" collapsed="false">
      <c r="B29" s="10" t="s">
        <v>87</v>
      </c>
      <c r="C29" s="10" t="s">
        <v>89</v>
      </c>
      <c r="D29" s="16" t="n">
        <v>1.0875</v>
      </c>
      <c r="E29" s="10" t="s">
        <v>175</v>
      </c>
    </row>
    <row r="30" customFormat="false" ht="15" hidden="false" customHeight="false" outlineLevel="0" collapsed="false">
      <c r="B30" s="10" t="s">
        <v>90</v>
      </c>
      <c r="C30" s="10" t="s">
        <v>91</v>
      </c>
      <c r="D30" s="16" t="n">
        <v>0.904</v>
      </c>
      <c r="E30" s="10" t="s">
        <v>175</v>
      </c>
    </row>
    <row r="31" customFormat="false" ht="15" hidden="false" customHeight="false" outlineLevel="0" collapsed="false">
      <c r="B31" s="10" t="s">
        <v>92</v>
      </c>
      <c r="C31" s="10" t="s">
        <v>93</v>
      </c>
      <c r="D31" s="16" t="n">
        <v>0.7165</v>
      </c>
      <c r="E31" s="10" t="s">
        <v>176</v>
      </c>
    </row>
    <row r="32" customFormat="false" ht="15" hidden="false" customHeight="false" outlineLevel="0" collapsed="false">
      <c r="B32" s="10" t="s">
        <v>92</v>
      </c>
      <c r="C32" s="10" t="s">
        <v>94</v>
      </c>
      <c r="D32" s="16" t="n">
        <v>1.1775</v>
      </c>
      <c r="E32" s="10" t="s">
        <v>176</v>
      </c>
    </row>
    <row r="33" customFormat="false" ht="15" hidden="false" customHeight="false" outlineLevel="0" collapsed="false">
      <c r="B33" s="10" t="s">
        <v>92</v>
      </c>
      <c r="C33" s="10" t="s">
        <v>95</v>
      </c>
      <c r="D33" s="16" t="n">
        <v>0.6319</v>
      </c>
      <c r="E33" s="10" t="s">
        <v>176</v>
      </c>
    </row>
    <row r="34" customFormat="false" ht="15" hidden="false" customHeight="false" outlineLevel="0" collapsed="false">
      <c r="B34" s="10" t="s">
        <v>96</v>
      </c>
      <c r="C34" s="10" t="s">
        <v>97</v>
      </c>
      <c r="D34" s="16" t="n">
        <v>0.817</v>
      </c>
      <c r="E34" s="10" t="s">
        <v>176</v>
      </c>
    </row>
    <row r="35" customFormat="false" ht="15" hidden="false" customHeight="false" outlineLevel="0" collapsed="false">
      <c r="B35" s="10" t="s">
        <v>96</v>
      </c>
      <c r="C35" s="10" t="s">
        <v>98</v>
      </c>
      <c r="D35" s="16" t="n">
        <v>0.8679</v>
      </c>
      <c r="E35" s="10" t="s">
        <v>176</v>
      </c>
    </row>
    <row r="37" customFormat="false" ht="24" hidden="false" customHeight="true" outlineLevel="0" collapsed="false">
      <c r="B37" s="6" t="s">
        <v>123</v>
      </c>
      <c r="C37" s="6" t="s">
        <v>124</v>
      </c>
      <c r="D37" s="6"/>
      <c r="E37" s="6"/>
      <c r="F37" s="6"/>
    </row>
    <row r="38" customFormat="false" ht="30" hidden="false" customHeight="true" outlineLevel="0" collapsed="false">
      <c r="B38" s="9" t="s">
        <v>177</v>
      </c>
      <c r="C38" s="25" t="s">
        <v>178</v>
      </c>
      <c r="D38" s="25"/>
      <c r="E38" s="25"/>
      <c r="F38" s="25"/>
      <c r="G38" s="38" t="n">
        <f aca="false">COUNTIF($B$19:$B$35,"BEHERA II")</f>
        <v>3</v>
      </c>
    </row>
    <row r="39" customFormat="false" ht="30" hidden="false" customHeight="true" outlineLevel="0" collapsed="false">
      <c r="B39" s="9" t="s">
        <v>179</v>
      </c>
      <c r="C39" s="25" t="s">
        <v>180</v>
      </c>
      <c r="D39" s="25"/>
      <c r="E39" s="25"/>
      <c r="F39" s="25"/>
      <c r="G39" s="38" t="n">
        <f aca="false">COUNTIF($E$19:$E$35,"Sara")</f>
        <v>3</v>
      </c>
    </row>
    <row r="40" customFormat="false" ht="30" hidden="false" customHeight="true" outlineLevel="0" collapsed="false">
      <c r="B40" s="9" t="s">
        <v>181</v>
      </c>
      <c r="C40" s="25" t="s">
        <v>182</v>
      </c>
      <c r="D40" s="25"/>
      <c r="E40" s="25"/>
      <c r="F40" s="25"/>
      <c r="G40" s="38" t="n">
        <f aca="false">COUNTIF($D$19:$D$35,"&gt;1")</f>
        <v>4</v>
      </c>
    </row>
    <row r="41" customFormat="false" ht="30" hidden="false" customHeight="true" outlineLevel="0" collapsed="false">
      <c r="B41" s="9" t="s">
        <v>183</v>
      </c>
      <c r="C41" s="25" t="s">
        <v>184</v>
      </c>
      <c r="D41" s="25"/>
      <c r="E41" s="25"/>
      <c r="F41" s="25"/>
      <c r="G41" s="38" t="n">
        <f aca="false">COUNTIF($B$19:$B$35,"ALEX*")</f>
        <v>9</v>
      </c>
    </row>
    <row r="43" customFormat="false" ht="15" hidden="false" customHeight="false" outlineLevel="0" collapsed="false">
      <c r="B43" s="4" t="s">
        <v>101</v>
      </c>
    </row>
    <row r="44" customFormat="false" ht="31.5" hidden="false" customHeight="true" outlineLevel="0" collapsed="false">
      <c r="B44" s="14" t="s">
        <v>185</v>
      </c>
      <c r="C44" s="14"/>
      <c r="D44" s="14"/>
      <c r="E44" s="14"/>
      <c r="F44" s="14"/>
      <c r="G44" s="14"/>
      <c r="H44" s="14"/>
    </row>
    <row r="45" customFormat="false" ht="15" hidden="false" customHeight="false" outlineLevel="0" collapsed="false">
      <c r="B45" s="19" t="s">
        <v>103</v>
      </c>
      <c r="C45" s="39"/>
      <c r="D45" s="39"/>
      <c r="E45" s="21" t="str">
        <f aca="false">IF(C45="","← type your formula in the yellow cell",IF(ISNUMBER(C45),IF(ROUND(C45,4)=ROUND(J45,4),"✓ Correct! Well done","✗ Not yet: see the hint below"),IF(C45=J45,"✓ Correct! Well done","✗ Not yet: see the hint below")))</f>
        <v>← type your formula in the yellow cell</v>
      </c>
      <c r="F45" s="21"/>
      <c r="G45" s="21"/>
      <c r="H45" s="21"/>
      <c r="J45" s="40" t="n">
        <f aca="false">COUNTIF($E$19:$E$35,"Nada")</f>
        <v>5</v>
      </c>
    </row>
    <row r="46" customFormat="false" ht="30" hidden="false" customHeight="true" outlineLevel="0" collapsed="false">
      <c r="B46" s="14" t="s">
        <v>186</v>
      </c>
      <c r="C46" s="14"/>
      <c r="D46" s="14"/>
      <c r="E46" s="14"/>
      <c r="F46" s="14"/>
      <c r="G46" s="14"/>
      <c r="H46" s="14"/>
    </row>
    <row r="48" customFormat="false" ht="15" hidden="false" customHeight="false" outlineLevel="0" collapsed="false">
      <c r="B48" s="4" t="s">
        <v>105</v>
      </c>
    </row>
    <row r="49" customFormat="false" ht="15" hidden="false" customHeight="true" outlineLevel="0" collapsed="false">
      <c r="B49" s="14" t="s">
        <v>187</v>
      </c>
      <c r="C49" s="14"/>
      <c r="D49" s="14"/>
      <c r="E49" s="14"/>
      <c r="F49" s="14"/>
      <c r="G49" s="14"/>
      <c r="H49" s="14"/>
    </row>
    <row r="50" customFormat="false" ht="15" hidden="false" customHeight="true" outlineLevel="0" collapsed="false">
      <c r="B50" s="14" t="s">
        <v>188</v>
      </c>
      <c r="C50" s="14"/>
      <c r="D50" s="14"/>
      <c r="E50" s="14"/>
      <c r="F50" s="14"/>
      <c r="G50" s="14"/>
      <c r="H50" s="14"/>
    </row>
  </sheetData>
  <mergeCells count="17">
    <mergeCell ref="B6:H6"/>
    <mergeCell ref="B9:H9"/>
    <mergeCell ref="C10:H10"/>
    <mergeCell ref="C11:H11"/>
    <mergeCell ref="C12:H12"/>
    <mergeCell ref="B15:H15"/>
    <mergeCell ref="C37:F37"/>
    <mergeCell ref="C38:F38"/>
    <mergeCell ref="C39:F39"/>
    <mergeCell ref="C40:F40"/>
    <mergeCell ref="C41:F41"/>
    <mergeCell ref="B44:H44"/>
    <mergeCell ref="C45:D45"/>
    <mergeCell ref="E45:H45"/>
    <mergeCell ref="B46:H46"/>
    <mergeCell ref="B49:H49"/>
    <mergeCell ref="B50:H50"/>
  </mergeCells>
  <conditionalFormatting sqref="E45">
    <cfRule type="expression" priority="2" aboveAverage="0" equalAverage="0" bottom="0" percent="0" rank="0" text="" dxfId="0">
      <formula>LEFT(E45,1)="✓"</formula>
    </cfRule>
    <cfRule type="expression" priority="3" aboveAverage="0" equalAverage="0" bottom="0" percent="0" rank="0" text="" dxfId="1">
      <formula>LEFT(E45,1)="✗"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189</v>
      </c>
    </row>
    <row r="2" customFormat="false" ht="15" hidden="false" customHeight="false" outlineLevel="0" collapsed="false">
      <c r="B2" s="2" t="s">
        <v>190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30" hidden="false" customHeight="true" outlineLevel="0" collapsed="false">
      <c r="B6" s="14" t="s">
        <v>191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192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166</v>
      </c>
      <c r="C11" s="9" t="s">
        <v>193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168</v>
      </c>
      <c r="C12" s="9" t="s">
        <v>194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B13" s="24" t="s">
        <v>195</v>
      </c>
      <c r="C13" s="9" t="s">
        <v>196</v>
      </c>
      <c r="D13" s="9"/>
      <c r="E13" s="9"/>
      <c r="F13" s="9"/>
      <c r="G13" s="9"/>
      <c r="H13" s="9"/>
    </row>
    <row r="15" customFormat="false" ht="15" hidden="false" customHeight="false" outlineLevel="0" collapsed="false">
      <c r="B15" s="4" t="s">
        <v>65</v>
      </c>
    </row>
    <row r="16" customFormat="false" ht="45" hidden="false" customHeight="true" outlineLevel="0" collapsed="false">
      <c r="B16" s="14" t="s">
        <v>197</v>
      </c>
      <c r="C16" s="14"/>
      <c r="D16" s="14"/>
      <c r="E16" s="14"/>
      <c r="F16" s="14"/>
      <c r="G16" s="14"/>
      <c r="H16" s="14"/>
    </row>
    <row r="18" customFormat="false" ht="15" hidden="false" customHeight="false" outlineLevel="0" collapsed="false">
      <c r="B18" s="4" t="s">
        <v>122</v>
      </c>
    </row>
    <row r="19" customFormat="false" ht="24" hidden="false" customHeight="true" outlineLevel="0" collapsed="false">
      <c r="B19" s="6" t="s">
        <v>68</v>
      </c>
      <c r="C19" s="6" t="s">
        <v>69</v>
      </c>
      <c r="D19" s="6" t="s">
        <v>70</v>
      </c>
      <c r="E19" s="6" t="s">
        <v>171</v>
      </c>
      <c r="F19" s="6" t="s">
        <v>198</v>
      </c>
    </row>
    <row r="20" customFormat="false" ht="15" hidden="false" customHeight="false" outlineLevel="0" collapsed="false">
      <c r="B20" s="10" t="s">
        <v>72</v>
      </c>
      <c r="C20" s="10" t="s">
        <v>73</v>
      </c>
      <c r="D20" s="16" t="n">
        <v>0.2588</v>
      </c>
      <c r="E20" s="10" t="s">
        <v>172</v>
      </c>
      <c r="F20" s="10" t="s">
        <v>199</v>
      </c>
    </row>
    <row r="21" customFormat="false" ht="15" hidden="false" customHeight="false" outlineLevel="0" collapsed="false">
      <c r="B21" s="10" t="s">
        <v>72</v>
      </c>
      <c r="C21" s="10" t="s">
        <v>74</v>
      </c>
      <c r="D21" s="16" t="n">
        <v>0.5646</v>
      </c>
      <c r="E21" s="10" t="s">
        <v>172</v>
      </c>
      <c r="F21" s="10" t="s">
        <v>199</v>
      </c>
    </row>
    <row r="22" customFormat="false" ht="15" hidden="false" customHeight="false" outlineLevel="0" collapsed="false">
      <c r="B22" s="10" t="s">
        <v>75</v>
      </c>
      <c r="C22" s="10" t="s">
        <v>76</v>
      </c>
      <c r="D22" s="16" t="n">
        <v>0.9199</v>
      </c>
      <c r="E22" s="10" t="s">
        <v>172</v>
      </c>
      <c r="F22" s="10" t="s">
        <v>199</v>
      </c>
    </row>
    <row r="23" customFormat="false" ht="15" hidden="false" customHeight="false" outlineLevel="0" collapsed="false">
      <c r="B23" s="10" t="s">
        <v>77</v>
      </c>
      <c r="C23" s="10" t="s">
        <v>78</v>
      </c>
      <c r="D23" s="16" t="n">
        <v>1.1872</v>
      </c>
      <c r="E23" s="10" t="s">
        <v>173</v>
      </c>
      <c r="F23" s="10" t="s">
        <v>199</v>
      </c>
    </row>
    <row r="24" customFormat="false" ht="15" hidden="false" customHeight="false" outlineLevel="0" collapsed="false">
      <c r="B24" s="10" t="s">
        <v>77</v>
      </c>
      <c r="C24" s="10" t="s">
        <v>79</v>
      </c>
      <c r="D24" s="16" t="n">
        <v>0.6967</v>
      </c>
      <c r="E24" s="10" t="s">
        <v>173</v>
      </c>
      <c r="F24" s="10" t="s">
        <v>199</v>
      </c>
    </row>
    <row r="25" customFormat="false" ht="15" hidden="false" customHeight="false" outlineLevel="0" collapsed="false">
      <c r="B25" s="10" t="s">
        <v>80</v>
      </c>
      <c r="C25" s="10" t="s">
        <v>81</v>
      </c>
      <c r="D25" s="16" t="n">
        <v>0.905</v>
      </c>
      <c r="E25" s="10" t="s">
        <v>173</v>
      </c>
      <c r="F25" s="10" t="s">
        <v>199</v>
      </c>
    </row>
    <row r="26" customFormat="false" ht="15" hidden="false" customHeight="false" outlineLevel="0" collapsed="false">
      <c r="B26" s="10" t="s">
        <v>82</v>
      </c>
      <c r="C26" s="10" t="s">
        <v>83</v>
      </c>
      <c r="D26" s="16" t="n">
        <v>1.5597</v>
      </c>
      <c r="E26" s="10" t="s">
        <v>174</v>
      </c>
      <c r="F26" s="10" t="s">
        <v>200</v>
      </c>
    </row>
    <row r="27" customFormat="false" ht="15" hidden="false" customHeight="false" outlineLevel="0" collapsed="false">
      <c r="B27" s="10" t="s">
        <v>84</v>
      </c>
      <c r="C27" s="10" t="s">
        <v>85</v>
      </c>
      <c r="D27" s="16" t="n">
        <v>0.6693</v>
      </c>
      <c r="E27" s="10" t="s">
        <v>174</v>
      </c>
      <c r="F27" s="10" t="s">
        <v>200</v>
      </c>
    </row>
    <row r="28" customFormat="false" ht="15" hidden="false" customHeight="false" outlineLevel="0" collapsed="false">
      <c r="B28" s="10" t="s">
        <v>84</v>
      </c>
      <c r="C28" s="10" t="s">
        <v>86</v>
      </c>
      <c r="D28" s="16" t="n">
        <v>0.5318</v>
      </c>
      <c r="E28" s="10" t="s">
        <v>174</v>
      </c>
      <c r="F28" s="10" t="s">
        <v>200</v>
      </c>
    </row>
    <row r="29" customFormat="false" ht="15" hidden="false" customHeight="false" outlineLevel="0" collapsed="false">
      <c r="B29" s="10" t="s">
        <v>87</v>
      </c>
      <c r="C29" s="10" t="s">
        <v>88</v>
      </c>
      <c r="D29" s="16" t="n">
        <v>0.8214</v>
      </c>
      <c r="E29" s="10" t="s">
        <v>175</v>
      </c>
      <c r="F29" s="10" t="s">
        <v>200</v>
      </c>
    </row>
    <row r="30" customFormat="false" ht="15" hidden="false" customHeight="false" outlineLevel="0" collapsed="false">
      <c r="B30" s="10" t="s">
        <v>87</v>
      </c>
      <c r="C30" s="10" t="s">
        <v>89</v>
      </c>
      <c r="D30" s="16" t="n">
        <v>1.0875</v>
      </c>
      <c r="E30" s="10" t="s">
        <v>175</v>
      </c>
      <c r="F30" s="10" t="s">
        <v>200</v>
      </c>
    </row>
    <row r="31" customFormat="false" ht="15" hidden="false" customHeight="false" outlineLevel="0" collapsed="false">
      <c r="B31" s="10" t="s">
        <v>90</v>
      </c>
      <c r="C31" s="10" t="s">
        <v>91</v>
      </c>
      <c r="D31" s="16" t="n">
        <v>0.904</v>
      </c>
      <c r="E31" s="10" t="s">
        <v>175</v>
      </c>
      <c r="F31" s="10" t="s">
        <v>200</v>
      </c>
    </row>
    <row r="32" customFormat="false" ht="15" hidden="false" customHeight="false" outlineLevel="0" collapsed="false">
      <c r="B32" s="10" t="s">
        <v>92</v>
      </c>
      <c r="C32" s="10" t="s">
        <v>93</v>
      </c>
      <c r="D32" s="16" t="n">
        <v>0.7165</v>
      </c>
      <c r="E32" s="10" t="s">
        <v>176</v>
      </c>
      <c r="F32" s="10" t="s">
        <v>201</v>
      </c>
    </row>
    <row r="33" customFormat="false" ht="15" hidden="false" customHeight="false" outlineLevel="0" collapsed="false">
      <c r="B33" s="10" t="s">
        <v>92</v>
      </c>
      <c r="C33" s="10" t="s">
        <v>94</v>
      </c>
      <c r="D33" s="16" t="n">
        <v>1.1775</v>
      </c>
      <c r="E33" s="10" t="s">
        <v>176</v>
      </c>
      <c r="F33" s="10" t="s">
        <v>201</v>
      </c>
    </row>
    <row r="34" customFormat="false" ht="15" hidden="false" customHeight="false" outlineLevel="0" collapsed="false">
      <c r="B34" s="10" t="s">
        <v>92</v>
      </c>
      <c r="C34" s="10" t="s">
        <v>95</v>
      </c>
      <c r="D34" s="16" t="n">
        <v>0.6319</v>
      </c>
      <c r="E34" s="10" t="s">
        <v>176</v>
      </c>
      <c r="F34" s="10" t="s">
        <v>201</v>
      </c>
    </row>
    <row r="35" customFormat="false" ht="15" hidden="false" customHeight="false" outlineLevel="0" collapsed="false">
      <c r="B35" s="10" t="s">
        <v>96</v>
      </c>
      <c r="C35" s="10" t="s">
        <v>97</v>
      </c>
      <c r="D35" s="16" t="n">
        <v>0.817</v>
      </c>
      <c r="E35" s="10" t="s">
        <v>176</v>
      </c>
      <c r="F35" s="10" t="s">
        <v>201</v>
      </c>
    </row>
    <row r="36" customFormat="false" ht="15" hidden="false" customHeight="false" outlineLevel="0" collapsed="false">
      <c r="B36" s="10" t="s">
        <v>96</v>
      </c>
      <c r="C36" s="10" t="s">
        <v>98</v>
      </c>
      <c r="D36" s="16" t="n">
        <v>0.8679</v>
      </c>
      <c r="E36" s="10" t="s">
        <v>176</v>
      </c>
      <c r="F36" s="10" t="s">
        <v>201</v>
      </c>
    </row>
    <row r="38" customFormat="false" ht="24" hidden="false" customHeight="true" outlineLevel="0" collapsed="false">
      <c r="B38" s="6" t="s">
        <v>123</v>
      </c>
      <c r="C38" s="6" t="s">
        <v>124</v>
      </c>
      <c r="D38" s="6"/>
      <c r="E38" s="6"/>
      <c r="F38" s="6"/>
    </row>
    <row r="39" customFormat="false" ht="30" hidden="false" customHeight="true" outlineLevel="0" collapsed="false">
      <c r="B39" s="9" t="s">
        <v>202</v>
      </c>
      <c r="C39" s="25" t="s">
        <v>203</v>
      </c>
      <c r="D39" s="25"/>
      <c r="E39" s="25"/>
      <c r="F39" s="25"/>
      <c r="G39" s="26" t="n">
        <f aca="false">SUMIF($E$20:$E$36,"Sara",$D$20:$D$36)</f>
        <v>1.7433</v>
      </c>
    </row>
    <row r="40" customFormat="false" ht="30" hidden="false" customHeight="true" outlineLevel="0" collapsed="false">
      <c r="B40" s="9" t="s">
        <v>204</v>
      </c>
      <c r="C40" s="25" t="s">
        <v>205</v>
      </c>
      <c r="D40" s="25"/>
      <c r="E40" s="25"/>
      <c r="F40" s="25"/>
      <c r="G40" s="26" t="n">
        <f aca="false">SUMIF($F$20:$F$36,"DM Alex West",$D$20:$D$36)</f>
        <v>5.5737</v>
      </c>
    </row>
    <row r="41" customFormat="false" ht="30" hidden="false" customHeight="true" outlineLevel="0" collapsed="false">
      <c r="B41" s="9" t="s">
        <v>206</v>
      </c>
      <c r="C41" s="25" t="s">
        <v>207</v>
      </c>
      <c r="D41" s="25"/>
      <c r="E41" s="25"/>
      <c r="F41" s="25"/>
      <c r="G41" s="26" t="n">
        <f aca="false">SUMIF($B$20:$B$36,"BEHERA II",$D$20:$D$36)</f>
        <v>2.5259</v>
      </c>
    </row>
    <row r="43" customFormat="false" ht="15" hidden="false" customHeight="false" outlineLevel="0" collapsed="false">
      <c r="B43" s="4" t="s">
        <v>208</v>
      </c>
    </row>
    <row r="44" customFormat="false" ht="24" hidden="false" customHeight="true" outlineLevel="0" collapsed="false">
      <c r="B44" s="6" t="s">
        <v>171</v>
      </c>
      <c r="C44" s="6" t="s">
        <v>209</v>
      </c>
      <c r="D44" s="6" t="s">
        <v>210</v>
      </c>
    </row>
    <row r="45" customFormat="false" ht="15" hidden="false" customHeight="false" outlineLevel="0" collapsed="false">
      <c r="B45" s="10" t="s">
        <v>172</v>
      </c>
      <c r="C45" s="41" t="n">
        <f aca="false">SUMIF($E$20:$E$36,B45,$D$20:$D$36)</f>
        <v>1.7433</v>
      </c>
      <c r="D45" s="42" t="n">
        <f aca="false">COUNTIF($E$20:$E$36,B45)</f>
        <v>3</v>
      </c>
    </row>
    <row r="46" customFormat="false" ht="15" hidden="false" customHeight="false" outlineLevel="0" collapsed="false">
      <c r="B46" s="10" t="s">
        <v>173</v>
      </c>
      <c r="C46" s="41" t="n">
        <f aca="false">SUMIF($E$20:$E$36,B46,$D$20:$D$36)</f>
        <v>2.7889</v>
      </c>
      <c r="D46" s="42" t="n">
        <f aca="false">COUNTIF($E$20:$E$36,B46)</f>
        <v>3</v>
      </c>
    </row>
    <row r="47" customFormat="false" ht="15" hidden="false" customHeight="false" outlineLevel="0" collapsed="false">
      <c r="B47" s="10" t="s">
        <v>174</v>
      </c>
      <c r="C47" s="41" t="n">
        <f aca="false">SUMIF($E$20:$E$36,B47,$D$20:$D$36)</f>
        <v>2.7608</v>
      </c>
      <c r="D47" s="42" t="n">
        <f aca="false">COUNTIF($E$20:$E$36,B47)</f>
        <v>3</v>
      </c>
    </row>
    <row r="48" customFormat="false" ht="15" hidden="false" customHeight="false" outlineLevel="0" collapsed="false">
      <c r="B48" s="10" t="s">
        <v>175</v>
      </c>
      <c r="C48" s="41" t="n">
        <f aca="false">SUMIF($E$20:$E$36,B48,$D$20:$D$36)</f>
        <v>2.8129</v>
      </c>
      <c r="D48" s="42" t="n">
        <f aca="false">COUNTIF($E$20:$E$36,B48)</f>
        <v>3</v>
      </c>
    </row>
    <row r="49" customFormat="false" ht="15" hidden="false" customHeight="false" outlineLevel="0" collapsed="false">
      <c r="B49" s="10" t="s">
        <v>176</v>
      </c>
      <c r="C49" s="41" t="n">
        <f aca="false">SUMIF($E$20:$E$36,B49,$D$20:$D$36)</f>
        <v>4.2108</v>
      </c>
      <c r="D49" s="42" t="n">
        <f aca="false">COUNTIF($E$20:$E$36,B49)</f>
        <v>5</v>
      </c>
    </row>
    <row r="50" customFormat="false" ht="15" hidden="false" customHeight="false" outlineLevel="0" collapsed="false">
      <c r="B50" s="18" t="s">
        <v>99</v>
      </c>
      <c r="C50" s="16" t="n">
        <f aca="false">SUM(C45:C49)</f>
        <v>14.3167</v>
      </c>
      <c r="D50" s="10" t="n">
        <f aca="false">SUM(D45:D49)</f>
        <v>17</v>
      </c>
    </row>
    <row r="52" customFormat="false" ht="30" hidden="false" customHeight="true" outlineLevel="0" collapsed="false">
      <c r="B52" s="14" t="s">
        <v>211</v>
      </c>
      <c r="C52" s="14"/>
      <c r="D52" s="14"/>
      <c r="E52" s="14"/>
      <c r="F52" s="14"/>
      <c r="G52" s="14"/>
      <c r="H52" s="14"/>
    </row>
    <row r="53" customFormat="false" ht="15" hidden="false" customHeight="false" outlineLevel="0" collapsed="false">
      <c r="B53" s="4" t="s">
        <v>101</v>
      </c>
    </row>
    <row r="54" customFormat="false" ht="31.5" hidden="false" customHeight="true" outlineLevel="0" collapsed="false">
      <c r="B54" s="14" t="s">
        <v>212</v>
      </c>
      <c r="C54" s="14"/>
      <c r="D54" s="14"/>
      <c r="E54" s="14"/>
      <c r="F54" s="14"/>
      <c r="G54" s="14"/>
      <c r="H54" s="14"/>
    </row>
    <row r="55" customFormat="false" ht="15" hidden="false" customHeight="false" outlineLevel="0" collapsed="false">
      <c r="B55" s="19" t="s">
        <v>103</v>
      </c>
      <c r="C55" s="27"/>
      <c r="D55" s="27"/>
      <c r="E55" s="21" t="str">
        <f aca="false">IF(C55="","← type your formula in the yellow cell",IF(ISNUMBER(C55),IF(ROUND(C55,4)=ROUND(J55,4),"✓ Correct! Well done","✗ Not yet: see the hint below"),IF(C55=J55,"✓ Correct! Well done","✗ Not yet: see the hint below")))</f>
        <v>← type your formula in the yellow cell</v>
      </c>
      <c r="F55" s="21"/>
      <c r="G55" s="21"/>
      <c r="H55" s="21"/>
      <c r="J55" s="28" t="n">
        <f aca="false">SUMIF($F$20:$F$36,"DM Behera",$D$20:$D$36)</f>
        <v>4.2108</v>
      </c>
    </row>
    <row r="56" customFormat="false" ht="30" hidden="false" customHeight="true" outlineLevel="0" collapsed="false">
      <c r="B56" s="14" t="s">
        <v>213</v>
      </c>
      <c r="C56" s="14"/>
      <c r="D56" s="14"/>
      <c r="E56" s="14"/>
      <c r="F56" s="14"/>
      <c r="G56" s="14"/>
      <c r="H56" s="14"/>
    </row>
    <row r="58" customFormat="false" ht="15" hidden="false" customHeight="false" outlineLevel="0" collapsed="false">
      <c r="B58" s="4" t="s">
        <v>105</v>
      </c>
    </row>
    <row r="59" customFormat="false" ht="15" hidden="false" customHeight="true" outlineLevel="0" collapsed="false">
      <c r="B59" s="14" t="s">
        <v>214</v>
      </c>
      <c r="C59" s="14"/>
      <c r="D59" s="14"/>
      <c r="E59" s="14"/>
      <c r="F59" s="14"/>
      <c r="G59" s="14"/>
      <c r="H59" s="14"/>
    </row>
    <row r="60" customFormat="false" ht="15" hidden="false" customHeight="true" outlineLevel="0" collapsed="false">
      <c r="B60" s="14" t="s">
        <v>215</v>
      </c>
      <c r="C60" s="14"/>
      <c r="D60" s="14"/>
      <c r="E60" s="14"/>
      <c r="F60" s="14"/>
      <c r="G60" s="14"/>
      <c r="H60" s="14"/>
    </row>
  </sheetData>
  <mergeCells count="18">
    <mergeCell ref="B6:H6"/>
    <mergeCell ref="B9:H9"/>
    <mergeCell ref="C10:H10"/>
    <mergeCell ref="C11:H11"/>
    <mergeCell ref="C12:H12"/>
    <mergeCell ref="C13:H13"/>
    <mergeCell ref="B16:H16"/>
    <mergeCell ref="C38:F38"/>
    <mergeCell ref="C39:F39"/>
    <mergeCell ref="C40:F40"/>
    <mergeCell ref="C41:F41"/>
    <mergeCell ref="B52:H52"/>
    <mergeCell ref="B54:H54"/>
    <mergeCell ref="C55:D55"/>
    <mergeCell ref="E55:H55"/>
    <mergeCell ref="B56:H56"/>
    <mergeCell ref="B59:H59"/>
    <mergeCell ref="B60:H60"/>
  </mergeCells>
  <conditionalFormatting sqref="E55">
    <cfRule type="expression" priority="2" aboveAverage="0" equalAverage="0" bottom="0" percent="0" rank="0" text="" dxfId="0">
      <formula>LEFT(E55,1)="✓"</formula>
    </cfRule>
    <cfRule type="expression" priority="3" aboveAverage="0" equalAverage="0" bottom="0" percent="0" rank="0" text="" dxfId="1">
      <formula>LEFT(E55,1)="✗"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216</v>
      </c>
    </row>
    <row r="2" customFormat="false" ht="15" hidden="false" customHeight="false" outlineLevel="0" collapsed="false">
      <c r="B2" s="2" t="s">
        <v>217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30" hidden="false" customHeight="true" outlineLevel="0" collapsed="false">
      <c r="B6" s="14" t="s">
        <v>218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219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220</v>
      </c>
      <c r="C11" s="9" t="s">
        <v>221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222</v>
      </c>
      <c r="C12" s="9" t="s">
        <v>223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B13" s="24" t="s">
        <v>224</v>
      </c>
      <c r="C13" s="9" t="s">
        <v>225</v>
      </c>
      <c r="D13" s="9"/>
      <c r="E13" s="9"/>
      <c r="F13" s="9"/>
      <c r="G13" s="9"/>
      <c r="H13" s="9"/>
    </row>
    <row r="14" customFormat="false" ht="15" hidden="false" customHeight="true" outlineLevel="0" collapsed="false">
      <c r="B14" s="24" t="s">
        <v>226</v>
      </c>
      <c r="C14" s="9" t="s">
        <v>227</v>
      </c>
      <c r="D14" s="9"/>
      <c r="E14" s="9"/>
      <c r="F14" s="9"/>
      <c r="G14" s="9"/>
      <c r="H14" s="9"/>
    </row>
    <row r="16" customFormat="false" ht="15" hidden="false" customHeight="false" outlineLevel="0" collapsed="false">
      <c r="B16" s="4" t="s">
        <v>65</v>
      </c>
    </row>
    <row r="17" customFormat="false" ht="30" hidden="false" customHeight="true" outlineLevel="0" collapsed="false">
      <c r="B17" s="14" t="s">
        <v>228</v>
      </c>
      <c r="C17" s="14"/>
      <c r="D17" s="14"/>
      <c r="E17" s="14"/>
      <c r="F17" s="14"/>
      <c r="G17" s="14"/>
      <c r="H17" s="14"/>
    </row>
    <row r="19" customFormat="false" ht="15" hidden="false" customHeight="false" outlineLevel="0" collapsed="false">
      <c r="B19" s="4" t="s">
        <v>229</v>
      </c>
    </row>
    <row r="20" customFormat="false" ht="24" hidden="false" customHeight="true" outlineLevel="0" collapsed="false">
      <c r="B20" s="6" t="s">
        <v>68</v>
      </c>
      <c r="C20" s="6" t="s">
        <v>70</v>
      </c>
      <c r="D20" s="6" t="s">
        <v>230</v>
      </c>
      <c r="E20" s="6" t="s">
        <v>231</v>
      </c>
    </row>
    <row r="21" customFormat="false" ht="15" hidden="false" customHeight="false" outlineLevel="0" collapsed="false">
      <c r="B21" s="10" t="s">
        <v>72</v>
      </c>
      <c r="C21" s="16" t="n">
        <v>0.823</v>
      </c>
      <c r="D21" s="43" t="n">
        <v>0.905</v>
      </c>
      <c r="E21" s="43" t="n">
        <v>0.741</v>
      </c>
    </row>
    <row r="22" customFormat="false" ht="15" hidden="false" customHeight="false" outlineLevel="0" collapsed="false">
      <c r="B22" s="10" t="s">
        <v>75</v>
      </c>
      <c r="C22" s="16" t="n">
        <v>0.92</v>
      </c>
      <c r="D22" s="43" t="n">
        <v>1.012</v>
      </c>
      <c r="E22" s="43" t="n">
        <v>0.828</v>
      </c>
    </row>
    <row r="23" customFormat="false" ht="15" hidden="false" customHeight="false" outlineLevel="0" collapsed="false">
      <c r="B23" s="10" t="s">
        <v>77</v>
      </c>
      <c r="C23" s="16" t="n">
        <v>1.884</v>
      </c>
      <c r="D23" s="43" t="n">
        <v>2.072</v>
      </c>
      <c r="E23" s="43" t="n">
        <v>1.696</v>
      </c>
    </row>
    <row r="24" customFormat="false" ht="15" hidden="false" customHeight="false" outlineLevel="0" collapsed="false">
      <c r="B24" s="10" t="s">
        <v>80</v>
      </c>
      <c r="C24" s="16" t="n">
        <v>0.905</v>
      </c>
      <c r="D24" s="43" t="n">
        <v>0.996</v>
      </c>
      <c r="E24" s="43" t="n">
        <v>0.815</v>
      </c>
    </row>
    <row r="25" customFormat="false" ht="15" hidden="false" customHeight="false" outlineLevel="0" collapsed="false">
      <c r="B25" s="10" t="s">
        <v>82</v>
      </c>
      <c r="C25" s="16" t="n">
        <v>1.56</v>
      </c>
      <c r="D25" s="43" t="n">
        <v>1.716</v>
      </c>
      <c r="E25" s="43" t="n">
        <v>1.404</v>
      </c>
    </row>
    <row r="26" customFormat="false" ht="15" hidden="false" customHeight="false" outlineLevel="0" collapsed="false">
      <c r="B26" s="10" t="s">
        <v>84</v>
      </c>
      <c r="C26" s="16" t="n">
        <v>1.201</v>
      </c>
      <c r="D26" s="43" t="n">
        <v>1.321</v>
      </c>
      <c r="E26" s="43" t="n">
        <v>1.081</v>
      </c>
    </row>
    <row r="27" customFormat="false" ht="15" hidden="false" customHeight="false" outlineLevel="0" collapsed="false">
      <c r="B27" s="10" t="s">
        <v>87</v>
      </c>
      <c r="C27" s="16" t="n">
        <v>1.909</v>
      </c>
      <c r="D27" s="43" t="n">
        <v>2.1</v>
      </c>
      <c r="E27" s="43" t="n">
        <v>1.718</v>
      </c>
    </row>
    <row r="28" customFormat="false" ht="15" hidden="false" customHeight="false" outlineLevel="0" collapsed="false">
      <c r="B28" s="10" t="s">
        <v>90</v>
      </c>
      <c r="C28" s="16" t="n">
        <v>0.904</v>
      </c>
      <c r="D28" s="43" t="n">
        <v>0.994</v>
      </c>
      <c r="E28" s="43" t="n">
        <v>0.814</v>
      </c>
    </row>
    <row r="29" customFormat="false" ht="15" hidden="false" customHeight="false" outlineLevel="0" collapsed="false">
      <c r="B29" s="10" t="s">
        <v>92</v>
      </c>
      <c r="C29" s="16" t="n">
        <v>2.526</v>
      </c>
      <c r="D29" s="43" t="n">
        <v>2.779</v>
      </c>
      <c r="E29" s="43" t="n">
        <v>2.273</v>
      </c>
    </row>
    <row r="30" customFormat="false" ht="15" hidden="false" customHeight="false" outlineLevel="0" collapsed="false">
      <c r="B30" s="10" t="s">
        <v>96</v>
      </c>
      <c r="C30" s="16" t="n">
        <v>1.685</v>
      </c>
      <c r="D30" s="43" t="n">
        <v>1.854</v>
      </c>
      <c r="E30" s="43" t="n">
        <v>1.517</v>
      </c>
    </row>
    <row r="32" customFormat="false" ht="15" hidden="false" customHeight="false" outlineLevel="0" collapsed="false">
      <c r="B32" s="19" t="s">
        <v>232</v>
      </c>
      <c r="C32" s="44" t="s">
        <v>92</v>
      </c>
    </row>
    <row r="34" customFormat="false" ht="24" hidden="false" customHeight="true" outlineLevel="0" collapsed="false">
      <c r="B34" s="6" t="s">
        <v>123</v>
      </c>
      <c r="C34" s="6" t="s">
        <v>124</v>
      </c>
      <c r="D34" s="6"/>
      <c r="E34" s="6"/>
      <c r="F34" s="6"/>
    </row>
    <row r="35" customFormat="false" ht="30" hidden="false" customHeight="true" outlineLevel="0" collapsed="false">
      <c r="B35" s="9" t="s">
        <v>233</v>
      </c>
      <c r="C35" s="25" t="s">
        <v>234</v>
      </c>
      <c r="D35" s="25"/>
      <c r="E35" s="25"/>
      <c r="F35" s="25"/>
      <c r="G35" s="26" t="n">
        <f aca="false">VLOOKUP(C32,$B$21:$E$30,2,FALSE())</f>
        <v>2.526</v>
      </c>
    </row>
    <row r="36" customFormat="false" ht="30" hidden="false" customHeight="true" outlineLevel="0" collapsed="false">
      <c r="B36" s="9" t="s">
        <v>235</v>
      </c>
      <c r="C36" s="25" t="s">
        <v>236</v>
      </c>
      <c r="D36" s="25"/>
      <c r="E36" s="25"/>
      <c r="F36" s="25"/>
      <c r="G36" s="26" t="n">
        <f aca="false">VLOOKUP(C32,$B$21:$E$30,3,FALSE())</f>
        <v>2.779</v>
      </c>
    </row>
    <row r="37" customFormat="false" ht="30" hidden="false" customHeight="true" outlineLevel="0" collapsed="false">
      <c r="B37" s="9" t="s">
        <v>237</v>
      </c>
      <c r="C37" s="25" t="s">
        <v>238</v>
      </c>
      <c r="D37" s="25"/>
      <c r="E37" s="25"/>
      <c r="F37" s="25"/>
      <c r="G37" s="26" t="n">
        <f aca="false">VLOOKUP(C32,$B$21:$E$30,4,FALSE())</f>
        <v>2.273</v>
      </c>
    </row>
    <row r="39" customFormat="false" ht="15" hidden="false" customHeight="true" outlineLevel="0" collapsed="false">
      <c r="B39" s="35" t="s">
        <v>239</v>
      </c>
      <c r="C39" s="35"/>
      <c r="D39" s="35"/>
      <c r="E39" s="35"/>
      <c r="F39" s="35"/>
      <c r="G39" s="35"/>
      <c r="H39" s="35"/>
    </row>
    <row r="41" customFormat="false" ht="15" hidden="false" customHeight="false" outlineLevel="0" collapsed="false">
      <c r="B41" s="4" t="s">
        <v>101</v>
      </c>
    </row>
    <row r="42" customFormat="false" ht="31.5" hidden="false" customHeight="true" outlineLevel="0" collapsed="false">
      <c r="B42" s="14" t="s">
        <v>240</v>
      </c>
      <c r="C42" s="14"/>
      <c r="D42" s="14"/>
      <c r="E42" s="14"/>
      <c r="F42" s="14"/>
      <c r="G42" s="14"/>
      <c r="H42" s="14"/>
    </row>
    <row r="43" customFormat="false" ht="15" hidden="false" customHeight="false" outlineLevel="0" collapsed="false">
      <c r="B43" s="19" t="s">
        <v>103</v>
      </c>
      <c r="C43" s="27"/>
      <c r="D43" s="27"/>
      <c r="E43" s="21" t="str">
        <f aca="false">IF(C43="","← type your formula in the yellow cell",IF(ISNUMBER(C43),IF(ROUND(C43,4)=ROUND(J43,4),"✓ Correct! Well done","✗ Not yet: see the hint below"),IF(C43=J43,"✓ Correct! Well done","✗ Not yet: see the hint below")))</f>
        <v>← type your formula in the yellow cell</v>
      </c>
      <c r="F43" s="21"/>
      <c r="G43" s="21"/>
      <c r="H43" s="21"/>
      <c r="J43" s="28" t="n">
        <f aca="false">VLOOKUP("ALEX CENTER II",$B$21:$E$30,4,FALSE())</f>
        <v>1.404</v>
      </c>
    </row>
    <row r="44" customFormat="false" ht="30" hidden="false" customHeight="true" outlineLevel="0" collapsed="false">
      <c r="B44" s="14" t="s">
        <v>241</v>
      </c>
      <c r="C44" s="14"/>
      <c r="D44" s="14"/>
      <c r="E44" s="14"/>
      <c r="F44" s="14"/>
      <c r="G44" s="14"/>
      <c r="H44" s="14"/>
    </row>
    <row r="46" customFormat="false" ht="15" hidden="false" customHeight="false" outlineLevel="0" collapsed="false">
      <c r="B46" s="4" t="s">
        <v>105</v>
      </c>
    </row>
    <row r="47" customFormat="false" ht="15" hidden="false" customHeight="true" outlineLevel="0" collapsed="false">
      <c r="B47" s="14" t="s">
        <v>242</v>
      </c>
      <c r="C47" s="14"/>
      <c r="D47" s="14"/>
      <c r="E47" s="14"/>
      <c r="F47" s="14"/>
      <c r="G47" s="14"/>
      <c r="H47" s="14"/>
    </row>
    <row r="48" customFormat="false" ht="15" hidden="false" customHeight="true" outlineLevel="0" collapsed="false">
      <c r="B48" s="14" t="s">
        <v>243</v>
      </c>
      <c r="C48" s="14"/>
      <c r="D48" s="14"/>
      <c r="E48" s="14"/>
      <c r="F48" s="14"/>
      <c r="G48" s="14"/>
      <c r="H48" s="14"/>
    </row>
    <row r="49" customFormat="false" ht="15" hidden="false" customHeight="true" outlineLevel="0" collapsed="false">
      <c r="B49" s="14" t="s">
        <v>244</v>
      </c>
      <c r="C49" s="14"/>
      <c r="D49" s="14"/>
      <c r="E49" s="14"/>
      <c r="F49" s="14"/>
      <c r="G49" s="14"/>
      <c r="H49" s="14"/>
    </row>
  </sheetData>
  <mergeCells count="20">
    <mergeCell ref="B6:H6"/>
    <mergeCell ref="B9:H9"/>
    <mergeCell ref="C10:H10"/>
    <mergeCell ref="C11:H11"/>
    <mergeCell ref="C12:H12"/>
    <mergeCell ref="C13:H13"/>
    <mergeCell ref="C14:H14"/>
    <mergeCell ref="B17:H17"/>
    <mergeCell ref="C34:F34"/>
    <mergeCell ref="C35:F35"/>
    <mergeCell ref="C36:F36"/>
    <mergeCell ref="C37:F37"/>
    <mergeCell ref="B39:H39"/>
    <mergeCell ref="B42:H42"/>
    <mergeCell ref="C43:D43"/>
    <mergeCell ref="E43:H43"/>
    <mergeCell ref="B44:H44"/>
    <mergeCell ref="B47:H47"/>
    <mergeCell ref="B48:H48"/>
    <mergeCell ref="B49:H49"/>
  </mergeCells>
  <conditionalFormatting sqref="E43">
    <cfRule type="expression" priority="2" aboveAverage="0" equalAverage="0" bottom="0" percent="0" rank="0" text="" dxfId="0">
      <formula>LEFT(E43,1)="✓"</formula>
    </cfRule>
    <cfRule type="expression" priority="3" aboveAverage="0" equalAverage="0" bottom="0" percent="0" rank="0" text="" dxfId="1">
      <formula>LEFT(E43,1)="✗"</formula>
    </cfRule>
  </conditionalFormatting>
  <dataValidations count="1">
    <dataValidation allowBlank="false" errorStyle="stop" operator="between" showDropDown="false" showErrorMessage="false" showInputMessage="false" sqref="C32" type="list">
      <formula1>$B$21:$B$30</formula1>
      <formula2>0</formula2>
    </dataValidation>
  </dataValidations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245</v>
      </c>
    </row>
    <row r="2" customFormat="false" ht="15" hidden="false" customHeight="false" outlineLevel="0" collapsed="false">
      <c r="B2" s="2" t="s">
        <v>246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30" hidden="false" customHeight="true" outlineLevel="0" collapsed="false">
      <c r="B6" s="14" t="s">
        <v>247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248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249</v>
      </c>
      <c r="C11" s="9" t="s">
        <v>250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251</v>
      </c>
      <c r="C12" s="9" t="s">
        <v>252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B13" s="24" t="s">
        <v>253</v>
      </c>
      <c r="C13" s="9" t="s">
        <v>254</v>
      </c>
      <c r="D13" s="9"/>
      <c r="E13" s="9"/>
      <c r="F13" s="9"/>
      <c r="G13" s="9"/>
      <c r="H13" s="9"/>
    </row>
    <row r="15" customFormat="false" ht="15" hidden="false" customHeight="false" outlineLevel="0" collapsed="false">
      <c r="B15" s="4" t="s">
        <v>65</v>
      </c>
    </row>
    <row r="16" customFormat="false" ht="30" hidden="false" customHeight="true" outlineLevel="0" collapsed="false">
      <c r="B16" s="14" t="s">
        <v>255</v>
      </c>
      <c r="C16" s="14"/>
      <c r="D16" s="14"/>
      <c r="E16" s="14"/>
      <c r="F16" s="14"/>
      <c r="G16" s="14"/>
      <c r="H16" s="14"/>
    </row>
    <row r="18" customFormat="false" ht="15" hidden="false" customHeight="false" outlineLevel="0" collapsed="false">
      <c r="B18" s="4" t="s">
        <v>122</v>
      </c>
    </row>
    <row r="19" customFormat="false" ht="24" hidden="false" customHeight="true" outlineLevel="0" collapsed="false">
      <c r="B19" s="6" t="s">
        <v>256</v>
      </c>
      <c r="C19" s="6" t="s">
        <v>70</v>
      </c>
      <c r="D19" s="6" t="s">
        <v>257</v>
      </c>
    </row>
    <row r="20" customFormat="false" ht="15" hidden="false" customHeight="false" outlineLevel="0" collapsed="false">
      <c r="B20" s="10" t="s">
        <v>172</v>
      </c>
      <c r="C20" s="16" t="n">
        <v>2.12</v>
      </c>
      <c r="D20" s="43" t="n">
        <v>2.87</v>
      </c>
    </row>
    <row r="21" customFormat="false" ht="15" hidden="false" customHeight="false" outlineLevel="0" collapsed="false">
      <c r="B21" s="10" t="s">
        <v>173</v>
      </c>
      <c r="C21" s="16" t="n">
        <v>2.43</v>
      </c>
      <c r="D21" s="43" t="n">
        <v>2.87</v>
      </c>
    </row>
    <row r="22" customFormat="false" ht="15" hidden="false" customHeight="false" outlineLevel="0" collapsed="false">
      <c r="B22" s="10" t="s">
        <v>174</v>
      </c>
      <c r="C22" s="16" t="n">
        <v>3.47</v>
      </c>
      <c r="D22" s="43" t="n">
        <v>2.87</v>
      </c>
    </row>
    <row r="23" customFormat="false" ht="15" hidden="false" customHeight="false" outlineLevel="0" collapsed="false">
      <c r="B23" s="10" t="s">
        <v>175</v>
      </c>
      <c r="C23" s="16" t="n">
        <v>2.81</v>
      </c>
      <c r="D23" s="43" t="n">
        <v>2.87</v>
      </c>
    </row>
    <row r="24" customFormat="false" ht="15" hidden="false" customHeight="false" outlineLevel="0" collapsed="false">
      <c r="B24" s="10" t="s">
        <v>176</v>
      </c>
      <c r="C24" s="16" t="n">
        <v>3.53</v>
      </c>
      <c r="D24" s="43" t="n">
        <v>2.87</v>
      </c>
    </row>
    <row r="26" customFormat="false" ht="24" hidden="false" customHeight="true" outlineLevel="0" collapsed="false">
      <c r="B26" s="6" t="s">
        <v>123</v>
      </c>
      <c r="C26" s="6" t="s">
        <v>124</v>
      </c>
      <c r="D26" s="6"/>
      <c r="E26" s="6"/>
      <c r="F26" s="6"/>
    </row>
    <row r="27" customFormat="false" ht="30" hidden="false" customHeight="true" outlineLevel="0" collapsed="false">
      <c r="B27" s="9" t="s">
        <v>258</v>
      </c>
      <c r="C27" s="25" t="s">
        <v>259</v>
      </c>
      <c r="D27" s="25"/>
      <c r="E27" s="25"/>
      <c r="F27" s="25"/>
      <c r="G27" s="45" t="str">
        <f aca="false">IF(C20&gt;D20,"Too heavy","OK or light")</f>
        <v>OK or light</v>
      </c>
    </row>
    <row r="28" customFormat="false" ht="30" hidden="false" customHeight="true" outlineLevel="0" collapsed="false">
      <c r="B28" s="9" t="s">
        <v>260</v>
      </c>
      <c r="C28" s="25" t="s">
        <v>261</v>
      </c>
      <c r="D28" s="25"/>
      <c r="E28" s="25"/>
      <c r="F28" s="25"/>
      <c r="G28" s="45" t="str">
        <f aca="false">IF(C24/D24-1&gt;0.35,"Rebalance","Fine")</f>
        <v>Fine</v>
      </c>
    </row>
    <row r="29" customFormat="false" ht="30" hidden="false" customHeight="true" outlineLevel="0" collapsed="false">
      <c r="B29" s="9" t="s">
        <v>262</v>
      </c>
      <c r="C29" s="25" t="s">
        <v>263</v>
      </c>
      <c r="D29" s="25"/>
      <c r="E29" s="25"/>
      <c r="F29" s="25"/>
      <c r="G29" s="45" t="str">
        <f aca="false">IF(0&gt;0,1000/0,"")</f>
        <v/>
      </c>
    </row>
    <row r="30" customFormat="false" ht="30" hidden="false" customHeight="true" outlineLevel="0" collapsed="false">
      <c r="B30" s="9" t="s">
        <v>264</v>
      </c>
      <c r="C30" s="25" t="s">
        <v>265</v>
      </c>
      <c r="D30" s="25"/>
      <c r="E30" s="25"/>
      <c r="F30" s="25"/>
      <c r="G30" s="45" t="str">
        <f aca="false">IF(C22&gt;D22*1.35,"Heavy",IF(C22&lt;D22*0.65,"Light","On target"))</f>
        <v>On target</v>
      </c>
    </row>
    <row r="32" customFormat="false" ht="15" hidden="false" customHeight="false" outlineLevel="0" collapsed="false">
      <c r="B32" s="4" t="s">
        <v>101</v>
      </c>
    </row>
    <row r="33" customFormat="false" ht="31.5" hidden="false" customHeight="true" outlineLevel="0" collapsed="false">
      <c r="B33" s="14" t="s">
        <v>266</v>
      </c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B34" s="19" t="s">
        <v>103</v>
      </c>
      <c r="C34" s="46"/>
      <c r="D34" s="46"/>
      <c r="E34" s="21" t="str">
        <f aca="false">IF(C34="","← type your formula in the yellow cell",IF(ISNUMBER(C34),IF(ROUND(C34,4)=ROUND(J34,4),"✓ Correct! Well done","✗ Not yet: see the hint below"),IF(C34=J34,"✓ Correct! Well done","✗ Not yet: see the hint below")))</f>
        <v>← type your formula in the yellow cell</v>
      </c>
      <c r="F34" s="21"/>
      <c r="G34" s="21"/>
      <c r="H34" s="21"/>
      <c r="J34" s="47" t="str">
        <f aca="false">IF(C21&lt;D21,"Below","Above")</f>
        <v>Below</v>
      </c>
    </row>
    <row r="35" customFormat="false" ht="30" hidden="false" customHeight="true" outlineLevel="0" collapsed="false">
      <c r="B35" s="14" t="s">
        <v>267</v>
      </c>
      <c r="C35" s="14"/>
      <c r="D35" s="14"/>
      <c r="E35" s="14"/>
      <c r="F35" s="14"/>
      <c r="G35" s="14"/>
      <c r="H35" s="14"/>
    </row>
    <row r="37" customFormat="false" ht="15" hidden="false" customHeight="false" outlineLevel="0" collapsed="false">
      <c r="B37" s="4" t="s">
        <v>105</v>
      </c>
    </row>
    <row r="38" customFormat="false" ht="15" hidden="false" customHeight="true" outlineLevel="0" collapsed="false">
      <c r="B38" s="14" t="s">
        <v>268</v>
      </c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B39" s="14" t="s">
        <v>269</v>
      </c>
      <c r="C39" s="14"/>
      <c r="D39" s="14"/>
      <c r="E39" s="14"/>
      <c r="F39" s="14"/>
      <c r="G39" s="14"/>
      <c r="H39" s="14"/>
    </row>
  </sheetData>
  <mergeCells count="18">
    <mergeCell ref="B6:H6"/>
    <mergeCell ref="B9:H9"/>
    <mergeCell ref="C10:H10"/>
    <mergeCell ref="C11:H11"/>
    <mergeCell ref="C12:H12"/>
    <mergeCell ref="C13:H13"/>
    <mergeCell ref="B16:H16"/>
    <mergeCell ref="C26:F26"/>
    <mergeCell ref="C27:F27"/>
    <mergeCell ref="C28:F28"/>
    <mergeCell ref="C29:F29"/>
    <mergeCell ref="C30:F30"/>
    <mergeCell ref="B33:H33"/>
    <mergeCell ref="C34:D34"/>
    <mergeCell ref="E34:H34"/>
    <mergeCell ref="B35:H35"/>
    <mergeCell ref="B38:H38"/>
    <mergeCell ref="B39:H39"/>
  </mergeCells>
  <conditionalFormatting sqref="E34">
    <cfRule type="expression" priority="2" aboveAverage="0" equalAverage="0" bottom="0" percent="0" rank="0" text="" dxfId="0">
      <formula>LEFT(E34,1)="✓"</formula>
    </cfRule>
    <cfRule type="expression" priority="3" aboveAverage="0" equalAverage="0" bottom="0" percent="0" rank="0" text="" dxfId="1">
      <formula>LEFT(E34,1)="✗"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270</v>
      </c>
    </row>
    <row r="2" customFormat="false" ht="15" hidden="false" customHeight="false" outlineLevel="0" collapsed="false">
      <c r="B2" s="2" t="s">
        <v>271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111</v>
      </c>
    </row>
    <row r="6" customFormat="false" ht="30" hidden="false" customHeight="true" outlineLevel="0" collapsed="false">
      <c r="B6" s="14" t="s">
        <v>272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273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4" t="s">
        <v>274</v>
      </c>
      <c r="C11" s="9" t="s">
        <v>275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24" t="s">
        <v>276</v>
      </c>
      <c r="C12" s="9" t="s">
        <v>277</v>
      </c>
      <c r="D12" s="9"/>
      <c r="E12" s="9"/>
      <c r="F12" s="9"/>
      <c r="G12" s="9"/>
      <c r="H12" s="9"/>
    </row>
    <row r="14" customFormat="false" ht="15" hidden="false" customHeight="false" outlineLevel="0" collapsed="false">
      <c r="B14" s="4" t="s">
        <v>65</v>
      </c>
    </row>
    <row r="15" customFormat="false" ht="30" hidden="false" customHeight="true" outlineLevel="0" collapsed="false">
      <c r="B15" s="14" t="s">
        <v>278</v>
      </c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B17" s="4" t="s">
        <v>122</v>
      </c>
    </row>
    <row r="18" customFormat="false" ht="15" hidden="false" customHeight="false" outlineLevel="0" collapsed="false">
      <c r="B18" s="48" t="s">
        <v>279</v>
      </c>
      <c r="C18" s="44" t="s">
        <v>280</v>
      </c>
    </row>
    <row r="19" customFormat="false" ht="15" hidden="false" customHeight="false" outlineLevel="0" collapsed="false">
      <c r="B19" s="48" t="s">
        <v>281</v>
      </c>
      <c r="C19" s="44" t="n">
        <v>0</v>
      </c>
    </row>
    <row r="21" customFormat="false" ht="24" hidden="false" customHeight="true" outlineLevel="0" collapsed="false">
      <c r="B21" s="6" t="s">
        <v>123</v>
      </c>
      <c r="C21" s="6" t="s">
        <v>124</v>
      </c>
      <c r="D21" s="6"/>
      <c r="E21" s="6"/>
      <c r="F21" s="6"/>
    </row>
    <row r="22" customFormat="false" ht="30" hidden="false" customHeight="true" outlineLevel="0" collapsed="false">
      <c r="B22" s="9" t="s">
        <v>282</v>
      </c>
      <c r="C22" s="25" t="s">
        <v>283</v>
      </c>
      <c r="D22" s="25"/>
      <c r="E22" s="25"/>
      <c r="F22" s="25"/>
      <c r="G22" s="26" t="str">
        <f aca="false">IF(ISNA(VLOOKUP(C18,'6 VLOOKUP'!$B$1:$E$200,2,FALSE())),"#N/A  (error)",VLOOKUP(C18,'6 VLOOKUP'!$B$1:$E$200,2,FALSE()))</f>
        <v>#N/A  (error)</v>
      </c>
    </row>
    <row r="23" customFormat="false" ht="30" hidden="false" customHeight="true" outlineLevel="0" collapsed="false">
      <c r="B23" s="9" t="s">
        <v>284</v>
      </c>
      <c r="C23" s="25" t="s">
        <v>285</v>
      </c>
      <c r="D23" s="25"/>
      <c r="E23" s="25"/>
      <c r="F23" s="25"/>
      <c r="G23" s="26" t="str">
        <f aca="false">IFERROR(VLOOKUP(C18,'6 VLOOKUP'!$B$1:$E$200,2,FALSE()),"Not found")</f>
        <v>Not found</v>
      </c>
    </row>
    <row r="24" customFormat="false" ht="30" hidden="false" customHeight="true" outlineLevel="0" collapsed="false">
      <c r="B24" s="9" t="s">
        <v>286</v>
      </c>
      <c r="C24" s="25" t="s">
        <v>287</v>
      </c>
      <c r="D24" s="25"/>
      <c r="E24" s="25"/>
      <c r="F24" s="25"/>
      <c r="G24" s="26" t="str">
        <f aca="false">IF(C19=0,"#DIV/0!  (error)",100/C19)</f>
        <v>#DIV/0!  (error)</v>
      </c>
    </row>
    <row r="25" customFormat="false" ht="30" hidden="false" customHeight="true" outlineLevel="0" collapsed="false">
      <c r="B25" s="9" t="s">
        <v>288</v>
      </c>
      <c r="C25" s="25" t="s">
        <v>289</v>
      </c>
      <c r="D25" s="25"/>
      <c r="E25" s="25"/>
      <c r="F25" s="25"/>
      <c r="G25" s="26" t="n">
        <f aca="false">IFERROR(100/C19,0)</f>
        <v>0</v>
      </c>
    </row>
    <row r="27" customFormat="false" ht="30" hidden="false" customHeight="true" outlineLevel="0" collapsed="false">
      <c r="B27" s="35" t="s">
        <v>290</v>
      </c>
      <c r="C27" s="35"/>
      <c r="D27" s="35"/>
      <c r="E27" s="35"/>
      <c r="F27" s="35"/>
      <c r="G27" s="35"/>
      <c r="H27" s="35"/>
    </row>
    <row r="29" customFormat="false" ht="15" hidden="false" customHeight="false" outlineLevel="0" collapsed="false">
      <c r="B29" s="4" t="s">
        <v>101</v>
      </c>
    </row>
    <row r="30" customFormat="false" ht="31.5" hidden="false" customHeight="true" outlineLevel="0" collapsed="false">
      <c r="B30" s="14" t="s">
        <v>291</v>
      </c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B31" s="19" t="s">
        <v>103</v>
      </c>
      <c r="C31" s="39"/>
      <c r="D31" s="39"/>
      <c r="E31" s="21" t="str">
        <f aca="false">IF(C31="","← type your formula in the yellow cell",IF(ISNUMBER(C31),IF(ROUND(C31,4)=ROUND(J31,4),"✓ Correct! Well done","✗ Not yet: see the hint below"),IF(C31=J31,"✓ Correct! Well done","✗ Not yet: see the hint below")))</f>
        <v>← type your formula in the yellow cell</v>
      </c>
      <c r="F31" s="21"/>
      <c r="G31" s="21"/>
      <c r="H31" s="21"/>
      <c r="J31" s="40" t="n">
        <f aca="false">IFERROR(50/0,0)</f>
        <v>0</v>
      </c>
    </row>
    <row r="32" customFormat="false" ht="30" hidden="false" customHeight="true" outlineLevel="0" collapsed="false">
      <c r="B32" s="14" t="s">
        <v>292</v>
      </c>
      <c r="C32" s="14"/>
      <c r="D32" s="14"/>
      <c r="E32" s="14"/>
      <c r="F32" s="14"/>
      <c r="G32" s="14"/>
      <c r="H32" s="14"/>
    </row>
    <row r="34" customFormat="false" ht="15" hidden="false" customHeight="false" outlineLevel="0" collapsed="false">
      <c r="B34" s="4" t="s">
        <v>105</v>
      </c>
    </row>
    <row r="35" customFormat="false" ht="30" hidden="false" customHeight="true" outlineLevel="0" collapsed="false">
      <c r="B35" s="14" t="s">
        <v>293</v>
      </c>
      <c r="C35" s="14"/>
      <c r="D35" s="14"/>
      <c r="E35" s="14"/>
      <c r="F35" s="14"/>
      <c r="G35" s="14"/>
      <c r="H35" s="14"/>
    </row>
  </sheetData>
  <mergeCells count="17">
    <mergeCell ref="B6:H6"/>
    <mergeCell ref="B9:H9"/>
    <mergeCell ref="C10:H10"/>
    <mergeCell ref="C11:H11"/>
    <mergeCell ref="C12:H12"/>
    <mergeCell ref="B15:H15"/>
    <mergeCell ref="C21:F21"/>
    <mergeCell ref="C22:F22"/>
    <mergeCell ref="C23:F23"/>
    <mergeCell ref="C24:F24"/>
    <mergeCell ref="C25:F25"/>
    <mergeCell ref="B27:H27"/>
    <mergeCell ref="B30:H30"/>
    <mergeCell ref="C31:D31"/>
    <mergeCell ref="E31:H31"/>
    <mergeCell ref="B32:H32"/>
    <mergeCell ref="B35:H35"/>
  </mergeCells>
  <conditionalFormatting sqref="E31">
    <cfRule type="expression" priority="2" aboveAverage="0" equalAverage="0" bottom="0" percent="0" rank="0" text="" dxfId="0">
      <formula>LEFT(E31,1)="✓"</formula>
    </cfRule>
    <cfRule type="expression" priority="3" aboveAverage="0" equalAverage="0" bottom="0" percent="0" rank="0" text="" dxfId="1">
      <formula>LEFT(E31,1)="✗"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294</v>
      </c>
    </row>
    <row r="2" customFormat="false" ht="15" hidden="false" customHeight="false" outlineLevel="0" collapsed="false">
      <c r="B2" s="2" t="s">
        <v>295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113</v>
      </c>
    </row>
    <row r="6" customFormat="false" ht="15" hidden="false" customHeight="false" outlineLevel="0" collapsed="false">
      <c r="B6" s="23" t="s">
        <v>296</v>
      </c>
      <c r="C6" s="23"/>
      <c r="D6" s="23"/>
      <c r="E6" s="23"/>
      <c r="F6" s="23"/>
      <c r="G6" s="23"/>
      <c r="H6" s="23"/>
    </row>
    <row r="7" customFormat="false" ht="24" hidden="false" customHeight="true" outlineLevel="0" collapsed="false">
      <c r="B7" s="6" t="s">
        <v>115</v>
      </c>
      <c r="C7" s="6" t="s">
        <v>116</v>
      </c>
      <c r="D7" s="6"/>
      <c r="E7" s="6"/>
      <c r="F7" s="6"/>
      <c r="G7" s="6"/>
      <c r="H7" s="6"/>
    </row>
    <row r="8" customFormat="false" ht="15" hidden="false" customHeight="true" outlineLevel="0" collapsed="false">
      <c r="B8" s="24" t="s">
        <v>166</v>
      </c>
      <c r="C8" s="9" t="s">
        <v>297</v>
      </c>
      <c r="D8" s="9"/>
      <c r="E8" s="9"/>
      <c r="F8" s="9"/>
      <c r="G8" s="9"/>
      <c r="H8" s="9"/>
    </row>
    <row r="10" customFormat="false" ht="15" hidden="false" customHeight="false" outlineLevel="0" collapsed="false">
      <c r="B10" s="4" t="s">
        <v>65</v>
      </c>
    </row>
    <row r="11" customFormat="false" ht="30" hidden="false" customHeight="true" outlineLevel="0" collapsed="false">
      <c r="B11" s="14" t="s">
        <v>298</v>
      </c>
      <c r="C11" s="14"/>
      <c r="D11" s="14"/>
      <c r="E11" s="14"/>
      <c r="F11" s="14"/>
      <c r="G11" s="14"/>
      <c r="H11" s="14"/>
    </row>
    <row r="13" customFormat="false" ht="24" hidden="false" customHeight="true" outlineLevel="0" collapsed="false">
      <c r="B13" s="6" t="s">
        <v>256</v>
      </c>
      <c r="C13" s="6" t="s">
        <v>70</v>
      </c>
    </row>
    <row r="14" customFormat="false" ht="15" hidden="false" customHeight="false" outlineLevel="0" collapsed="false">
      <c r="B14" s="10" t="s">
        <v>172</v>
      </c>
      <c r="C14" s="43" t="n">
        <v>2.12</v>
      </c>
    </row>
    <row r="15" customFormat="false" ht="15" hidden="false" customHeight="false" outlineLevel="0" collapsed="false">
      <c r="B15" s="10" t="s">
        <v>173</v>
      </c>
      <c r="C15" s="43" t="n">
        <v>2.43</v>
      </c>
    </row>
    <row r="16" customFormat="false" ht="15" hidden="false" customHeight="false" outlineLevel="0" collapsed="false">
      <c r="B16" s="10" t="s">
        <v>174</v>
      </c>
      <c r="C16" s="43" t="n">
        <v>3.47</v>
      </c>
    </row>
    <row r="17" customFormat="false" ht="15" hidden="false" customHeight="false" outlineLevel="0" collapsed="false">
      <c r="B17" s="10" t="s">
        <v>175</v>
      </c>
      <c r="C17" s="43" t="n">
        <v>2.81</v>
      </c>
    </row>
    <row r="18" customFormat="false" ht="15" hidden="false" customHeight="false" outlineLevel="0" collapsed="false">
      <c r="B18" s="10" t="s">
        <v>176</v>
      </c>
      <c r="C18" s="43" t="n">
        <v>3.53</v>
      </c>
    </row>
    <row r="20" customFormat="false" ht="24" hidden="false" customHeight="true" outlineLevel="0" collapsed="false">
      <c r="B20" s="6" t="s">
        <v>123</v>
      </c>
      <c r="C20" s="6" t="s">
        <v>124</v>
      </c>
      <c r="D20" s="6"/>
      <c r="E20" s="6"/>
      <c r="F20" s="6"/>
    </row>
    <row r="21" customFormat="false" ht="30" hidden="false" customHeight="true" outlineLevel="0" collapsed="false">
      <c r="B21" s="9" t="s">
        <v>299</v>
      </c>
      <c r="C21" s="25" t="s">
        <v>300</v>
      </c>
      <c r="D21" s="25"/>
      <c r="E21" s="25"/>
      <c r="F21" s="25"/>
      <c r="G21" s="26" t="n">
        <f aca="false">AVERAGE(C14:C18)</f>
        <v>2.872</v>
      </c>
    </row>
    <row r="22" customFormat="false" ht="30" hidden="false" customHeight="true" outlineLevel="0" collapsed="false">
      <c r="B22" s="9" t="s">
        <v>301</v>
      </c>
      <c r="C22" s="25" t="s">
        <v>302</v>
      </c>
      <c r="D22" s="25"/>
      <c r="E22" s="25"/>
      <c r="F22" s="25"/>
      <c r="G22" s="26" t="n">
        <f aca="false">MIN(C14:C18)</f>
        <v>2.12</v>
      </c>
    </row>
    <row r="23" customFormat="false" ht="30" hidden="false" customHeight="true" outlineLevel="0" collapsed="false">
      <c r="B23" s="9" t="s">
        <v>303</v>
      </c>
      <c r="C23" s="25" t="s">
        <v>304</v>
      </c>
      <c r="D23" s="25"/>
      <c r="E23" s="25"/>
      <c r="F23" s="25"/>
      <c r="G23" s="26" t="n">
        <f aca="false">MAX(C14:C18)</f>
        <v>3.53</v>
      </c>
    </row>
    <row r="24" customFormat="false" ht="30" hidden="false" customHeight="true" outlineLevel="0" collapsed="false">
      <c r="B24" s="9" t="s">
        <v>305</v>
      </c>
      <c r="C24" s="25" t="s">
        <v>306</v>
      </c>
      <c r="D24" s="25"/>
      <c r="E24" s="25"/>
      <c r="F24" s="25"/>
      <c r="G24" s="26" t="n">
        <f aca="false">MAX(C14:C18)-MIN(C14:C18)</f>
        <v>1.41</v>
      </c>
    </row>
    <row r="26" customFormat="false" ht="15" hidden="false" customHeight="false" outlineLevel="0" collapsed="false">
      <c r="B26" s="4" t="s">
        <v>101</v>
      </c>
    </row>
    <row r="27" customFormat="false" ht="31.5" hidden="false" customHeight="true" outlineLevel="0" collapsed="false">
      <c r="B27" s="14" t="s">
        <v>307</v>
      </c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B28" s="19" t="s">
        <v>103</v>
      </c>
      <c r="C28" s="27"/>
      <c r="D28" s="27"/>
      <c r="E28" s="21" t="str">
        <f aca="false">IF(C28="","← type your formula in the yellow cell",IF(ISNUMBER(C28),IF(ROUND(C28,4)=ROUND(J28,4),"✓ Correct! Well done","✗ Not yet: see the hint below"),IF(C28=J28,"✓ Correct! Well done","✗ Not yet: see the hint below")))</f>
        <v>← type your formula in the yellow cell</v>
      </c>
      <c r="F28" s="21"/>
      <c r="G28" s="21"/>
      <c r="H28" s="21"/>
      <c r="J28" s="28" t="n">
        <f aca="false">MAX(C14:C18)-AVERAGE(C14:C18)</f>
        <v>0.658</v>
      </c>
    </row>
    <row r="29" customFormat="false" ht="30" hidden="false" customHeight="true" outlineLevel="0" collapsed="false">
      <c r="B29" s="14" t="s">
        <v>308</v>
      </c>
      <c r="C29" s="14"/>
      <c r="D29" s="14"/>
      <c r="E29" s="14"/>
      <c r="F29" s="14"/>
      <c r="G29" s="14"/>
      <c r="H29" s="14"/>
    </row>
    <row r="31" customFormat="false" ht="15" hidden="false" customHeight="false" outlineLevel="0" collapsed="false">
      <c r="B31" s="4" t="s">
        <v>105</v>
      </c>
    </row>
    <row r="32" customFormat="false" ht="15" hidden="false" customHeight="true" outlineLevel="0" collapsed="false">
      <c r="B32" s="14" t="s">
        <v>309</v>
      </c>
      <c r="C32" s="14"/>
      <c r="D32" s="14"/>
      <c r="E32" s="14"/>
      <c r="F32" s="14"/>
      <c r="G32" s="14"/>
      <c r="H32" s="14"/>
    </row>
  </sheetData>
  <mergeCells count="14">
    <mergeCell ref="B6:H6"/>
    <mergeCell ref="C7:H7"/>
    <mergeCell ref="C8:H8"/>
    <mergeCell ref="B11:H11"/>
    <mergeCell ref="C20:F20"/>
    <mergeCell ref="C21:F21"/>
    <mergeCell ref="C22:F22"/>
    <mergeCell ref="C23:F23"/>
    <mergeCell ref="C24:F24"/>
    <mergeCell ref="B27:H27"/>
    <mergeCell ref="C28:D28"/>
    <mergeCell ref="E28:H28"/>
    <mergeCell ref="B29:H29"/>
    <mergeCell ref="B32:H32"/>
  </mergeCells>
  <conditionalFormatting sqref="E28">
    <cfRule type="expression" priority="2" aboveAverage="0" equalAverage="0" bottom="0" percent="0" rank="0" text="" dxfId="0">
      <formula>LEFT(E28,1)="✓"</formula>
    </cfRule>
    <cfRule type="expression" priority="3" aboveAverage="0" equalAverage="0" bottom="0" percent="0" rank="0" text="" dxfId="1">
      <formula>LEFT(E28,1)="✗"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310</v>
      </c>
    </row>
    <row r="2" customFormat="false" ht="15" hidden="false" customHeight="false" outlineLevel="0" collapsed="false">
      <c r="B2" s="2" t="s">
        <v>311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61</v>
      </c>
    </row>
    <row r="6" customFormat="false" ht="45" hidden="false" customHeight="true" outlineLevel="0" collapsed="false">
      <c r="B6" s="14" t="s">
        <v>312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113</v>
      </c>
    </row>
    <row r="9" customFormat="false" ht="15" hidden="false" customHeight="false" outlineLevel="0" collapsed="false">
      <c r="B9" s="23" t="s">
        <v>313</v>
      </c>
      <c r="C9" s="23"/>
      <c r="D9" s="23"/>
      <c r="E9" s="23"/>
      <c r="F9" s="23"/>
      <c r="G9" s="23"/>
      <c r="H9" s="23"/>
    </row>
    <row r="10" customFormat="false" ht="24" hidden="false" customHeight="true" outlineLevel="0" collapsed="false">
      <c r="B10" s="6" t="s">
        <v>115</v>
      </c>
      <c r="C10" s="6" t="s">
        <v>116</v>
      </c>
      <c r="D10" s="6"/>
      <c r="E10" s="6"/>
      <c r="F10" s="6"/>
      <c r="G10" s="6"/>
      <c r="H10" s="6"/>
    </row>
    <row r="11" customFormat="false" ht="30" hidden="false" customHeight="true" outlineLevel="0" collapsed="false">
      <c r="B11" s="24" t="s">
        <v>166</v>
      </c>
      <c r="C11" s="9" t="s">
        <v>314</v>
      </c>
      <c r="D11" s="9"/>
      <c r="E11" s="9"/>
      <c r="F11" s="9"/>
      <c r="G11" s="9"/>
      <c r="H11" s="9"/>
    </row>
    <row r="13" customFormat="false" ht="15" hidden="false" customHeight="false" outlineLevel="0" collapsed="false">
      <c r="B13" s="4" t="s">
        <v>65</v>
      </c>
    </row>
    <row r="14" customFormat="false" ht="15" hidden="false" customHeight="true" outlineLevel="0" collapsed="false">
      <c r="B14" s="14" t="s">
        <v>315</v>
      </c>
      <c r="C14" s="14"/>
      <c r="D14" s="14"/>
      <c r="E14" s="14"/>
      <c r="F14" s="14"/>
      <c r="G14" s="14"/>
      <c r="H14" s="14"/>
    </row>
    <row r="16" customFormat="false" ht="24" hidden="false" customHeight="true" outlineLevel="0" collapsed="false">
      <c r="B16" s="6" t="s">
        <v>256</v>
      </c>
      <c r="C16" s="6" t="s">
        <v>316</v>
      </c>
      <c r="D16" s="6" t="s">
        <v>317</v>
      </c>
    </row>
    <row r="17" customFormat="false" ht="15" hidden="false" customHeight="false" outlineLevel="0" collapsed="false">
      <c r="B17" s="10" t="s">
        <v>318</v>
      </c>
      <c r="C17" s="44" t="n">
        <v>2.9</v>
      </c>
      <c r="D17" s="44" t="n">
        <v>2</v>
      </c>
    </row>
    <row r="18" customFormat="false" ht="15" hidden="false" customHeight="false" outlineLevel="0" collapsed="false">
      <c r="B18" s="10" t="s">
        <v>319</v>
      </c>
      <c r="C18" s="44" t="n">
        <v>3</v>
      </c>
      <c r="D18" s="44" t="n">
        <v>3.9</v>
      </c>
    </row>
    <row r="19" customFormat="false" ht="15" hidden="false" customHeight="false" outlineLevel="0" collapsed="false">
      <c r="B19" s="10" t="s">
        <v>320</v>
      </c>
      <c r="C19" s="44" t="n">
        <v>2.8</v>
      </c>
      <c r="D19" s="44" t="n">
        <v>1.6</v>
      </c>
    </row>
    <row r="20" customFormat="false" ht="15" hidden="false" customHeight="false" outlineLevel="0" collapsed="false">
      <c r="B20" s="10" t="s">
        <v>321</v>
      </c>
      <c r="C20" s="44" t="n">
        <v>3.1</v>
      </c>
      <c r="D20" s="44" t="n">
        <v>4.2</v>
      </c>
    </row>
    <row r="21" customFormat="false" ht="15" hidden="false" customHeight="false" outlineLevel="0" collapsed="false">
      <c r="B21" s="10" t="s">
        <v>322</v>
      </c>
      <c r="C21" s="44" t="n">
        <v>3.2</v>
      </c>
      <c r="D21" s="44" t="n">
        <v>3.3</v>
      </c>
    </row>
    <row r="23" customFormat="false" ht="24" hidden="false" customHeight="true" outlineLevel="0" collapsed="false">
      <c r="B23" s="6" t="s">
        <v>123</v>
      </c>
      <c r="C23" s="6" t="s">
        <v>124</v>
      </c>
      <c r="D23" s="6"/>
      <c r="E23" s="6"/>
      <c r="F23" s="6"/>
    </row>
    <row r="24" customFormat="false" ht="30" hidden="false" customHeight="true" outlineLevel="0" collapsed="false">
      <c r="B24" s="9" t="s">
        <v>323</v>
      </c>
      <c r="C24" s="25" t="s">
        <v>324</v>
      </c>
      <c r="D24" s="25"/>
      <c r="E24" s="25"/>
      <c r="F24" s="25"/>
      <c r="G24" s="49" t="n">
        <f aca="false">STDEVP(C17:C21)/AVERAGE(C17:C21)</f>
        <v>0.0471404520791032</v>
      </c>
    </row>
    <row r="25" customFormat="false" ht="30" hidden="false" customHeight="true" outlineLevel="0" collapsed="false">
      <c r="B25" s="9" t="s">
        <v>325</v>
      </c>
      <c r="C25" s="25" t="s">
        <v>326</v>
      </c>
      <c r="D25" s="25"/>
      <c r="E25" s="25"/>
      <c r="F25" s="25"/>
      <c r="G25" s="49" t="n">
        <f aca="false">STDEVP(D17:D21)/AVERAGE(D17:D21)</f>
        <v>0.343187671366233</v>
      </c>
    </row>
    <row r="27" customFormat="false" ht="15" hidden="false" customHeight="true" outlineLevel="0" collapsed="false">
      <c r="B27" s="35" t="s">
        <v>327</v>
      </c>
      <c r="C27" s="35"/>
      <c r="D27" s="35"/>
      <c r="E27" s="35"/>
      <c r="F27" s="35"/>
      <c r="G27" s="35"/>
      <c r="H27" s="35"/>
    </row>
    <row r="29" customFormat="false" ht="15" hidden="false" customHeight="false" outlineLevel="0" collapsed="false">
      <c r="B29" s="4" t="s">
        <v>101</v>
      </c>
    </row>
    <row r="30" customFormat="false" ht="31.5" hidden="false" customHeight="true" outlineLevel="0" collapsed="false">
      <c r="B30" s="14" t="s">
        <v>328</v>
      </c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B31" s="19" t="s">
        <v>103</v>
      </c>
      <c r="C31" s="27"/>
      <c r="D31" s="27"/>
      <c r="E31" s="21" t="str">
        <f aca="false">IF(C31="","← type your formula in the yellow cell",IF(ISNUMBER(C31),IF(ROUND(C31,4)=ROUND(J31,4),"✓ Correct! Well done","✗ Not yet: see the hint below"),IF(C31=J31,"✓ Correct! Well done","✗ Not yet: see the hint below")))</f>
        <v>← type your formula in the yellow cell</v>
      </c>
      <c r="F31" s="21"/>
      <c r="G31" s="21"/>
      <c r="H31" s="21"/>
      <c r="J31" s="28" t="n">
        <f aca="false">STDEVP(D17:D21)</f>
        <v>1.0295630140987</v>
      </c>
    </row>
    <row r="32" customFormat="false" ht="30" hidden="false" customHeight="true" outlineLevel="0" collapsed="false">
      <c r="B32" s="14" t="s">
        <v>329</v>
      </c>
      <c r="C32" s="14"/>
      <c r="D32" s="14"/>
      <c r="E32" s="14"/>
      <c r="F32" s="14"/>
      <c r="G32" s="14"/>
      <c r="H32" s="14"/>
    </row>
    <row r="34" customFormat="false" ht="15" hidden="false" customHeight="false" outlineLevel="0" collapsed="false">
      <c r="B34" s="4" t="s">
        <v>105</v>
      </c>
    </row>
    <row r="35" customFormat="false" ht="30" hidden="false" customHeight="true" outlineLevel="0" collapsed="false">
      <c r="B35" s="14" t="s">
        <v>330</v>
      </c>
      <c r="C35" s="14"/>
      <c r="D35" s="14"/>
      <c r="E35" s="14"/>
      <c r="F35" s="14"/>
      <c r="G35" s="14"/>
      <c r="H35" s="14"/>
    </row>
  </sheetData>
  <mergeCells count="14">
    <mergeCell ref="B6:H6"/>
    <mergeCell ref="B9:H9"/>
    <mergeCell ref="C10:H10"/>
    <mergeCell ref="C11:H11"/>
    <mergeCell ref="B14:H14"/>
    <mergeCell ref="C23:F23"/>
    <mergeCell ref="C24:F24"/>
    <mergeCell ref="C25:F25"/>
    <mergeCell ref="B27:H27"/>
    <mergeCell ref="B30:H30"/>
    <mergeCell ref="C31:D31"/>
    <mergeCell ref="E31:H31"/>
    <mergeCell ref="B32:H32"/>
    <mergeCell ref="B35:H35"/>
  </mergeCells>
  <conditionalFormatting sqref="E31">
    <cfRule type="expression" priority="2" aboveAverage="0" equalAverage="0" bottom="0" percent="0" rank="0" text="" dxfId="0">
      <formula>LEFT(E31,1)="✓"</formula>
    </cfRule>
    <cfRule type="expression" priority="3" aboveAverage="0" equalAverage="0" bottom="0" percent="0" rank="0" text="" dxfId="1">
      <formula>LEFT(E31,1)="✗"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true" outlineLevel="0" max="10" min="10" style="0" width="12"/>
  </cols>
  <sheetData>
    <row r="1" customFormat="false" ht="27.75" hidden="false" customHeight="true" outlineLevel="0" collapsed="false">
      <c r="B1" s="12" t="s">
        <v>331</v>
      </c>
    </row>
    <row r="2" customFormat="false" ht="15" hidden="false" customHeight="false" outlineLevel="0" collapsed="false">
      <c r="B2" s="2" t="s">
        <v>332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333</v>
      </c>
    </row>
    <row r="6" customFormat="false" ht="45" hidden="false" customHeight="true" outlineLevel="0" collapsed="false">
      <c r="B6" s="14" t="s">
        <v>334</v>
      </c>
      <c r="C6" s="14"/>
      <c r="D6" s="14"/>
      <c r="E6" s="14"/>
      <c r="F6" s="14"/>
      <c r="G6" s="14"/>
      <c r="H6" s="14"/>
    </row>
    <row r="7" customFormat="false" ht="15" hidden="false" customHeight="true" outlineLevel="0" collapsed="false">
      <c r="B7" s="14" t="s">
        <v>335</v>
      </c>
      <c r="C7" s="14"/>
      <c r="D7" s="14"/>
      <c r="E7" s="14"/>
      <c r="F7" s="14"/>
      <c r="G7" s="14"/>
      <c r="H7" s="14"/>
    </row>
    <row r="9" customFormat="false" ht="15" hidden="false" customHeight="false" outlineLevel="0" collapsed="false">
      <c r="B9" s="4" t="s">
        <v>65</v>
      </c>
    </row>
    <row r="10" customFormat="false" ht="30" hidden="false" customHeight="true" outlineLevel="0" collapsed="false">
      <c r="B10" s="14" t="s">
        <v>336</v>
      </c>
      <c r="C10" s="14"/>
      <c r="D10" s="14"/>
      <c r="E10" s="14"/>
      <c r="F10" s="14"/>
      <c r="G10" s="14"/>
      <c r="H10" s="14"/>
    </row>
    <row r="12" customFormat="false" ht="24" hidden="false" customHeight="true" outlineLevel="0" collapsed="false">
      <c r="B12" s="6" t="s">
        <v>337</v>
      </c>
      <c r="C12" s="6" t="s">
        <v>70</v>
      </c>
      <c r="D12" s="6" t="s">
        <v>338</v>
      </c>
    </row>
    <row r="13" customFormat="false" ht="15" hidden="false" customHeight="false" outlineLevel="0" collapsed="false">
      <c r="B13" s="10" t="s">
        <v>176</v>
      </c>
      <c r="C13" s="43" t="n">
        <v>1.89</v>
      </c>
      <c r="D13" s="17" t="n">
        <f aca="false">IF(SUM($C$13:$C$15)=0,0,C13/SUM($C$13:$C$15))</f>
        <v>0.36986301369863</v>
      </c>
    </row>
    <row r="14" customFormat="false" ht="15" hidden="false" customHeight="false" outlineLevel="0" collapsed="false">
      <c r="B14" s="10" t="s">
        <v>175</v>
      </c>
      <c r="C14" s="43" t="n">
        <v>2.28</v>
      </c>
      <c r="D14" s="17" t="n">
        <f aca="false">IF(SUM($C$13:$C$15)=0,0,C14/SUM($C$13:$C$15))</f>
        <v>0.446183953033268</v>
      </c>
    </row>
    <row r="15" customFormat="false" ht="15" hidden="false" customHeight="false" outlineLevel="0" collapsed="false">
      <c r="B15" s="10" t="s">
        <v>339</v>
      </c>
      <c r="C15" s="43" t="n">
        <v>0.94</v>
      </c>
      <c r="D15" s="17" t="n">
        <f aca="false">IF(SUM($C$13:$C$15)=0,0,C15/SUM($C$13:$C$15))</f>
        <v>0.183953033268102</v>
      </c>
    </row>
    <row r="16" customFormat="false" ht="15" hidden="false" customHeight="false" outlineLevel="0" collapsed="false">
      <c r="B16" s="18" t="s">
        <v>99</v>
      </c>
      <c r="C16" s="16" t="n">
        <f aca="false">SUM(C13:C15)</f>
        <v>5.11</v>
      </c>
      <c r="D16" s="50" t="n">
        <f aca="false">SUM(D13:D15)</f>
        <v>1</v>
      </c>
    </row>
    <row r="18" customFormat="false" ht="30" hidden="false" customHeight="true" outlineLevel="0" collapsed="false">
      <c r="B18" s="35" t="s">
        <v>340</v>
      </c>
      <c r="C18" s="35"/>
      <c r="D18" s="35"/>
      <c r="E18" s="35"/>
      <c r="F18" s="35"/>
      <c r="G18" s="35"/>
      <c r="H18" s="35"/>
    </row>
    <row r="20" customFormat="false" ht="15" hidden="false" customHeight="false" outlineLevel="0" collapsed="false">
      <c r="B20" s="4" t="s">
        <v>101</v>
      </c>
    </row>
    <row r="21" customFormat="false" ht="31.5" hidden="false" customHeight="true" outlineLevel="0" collapsed="false">
      <c r="B21" s="14" t="s">
        <v>341</v>
      </c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B22" s="19" t="s">
        <v>103</v>
      </c>
      <c r="C22" s="20"/>
      <c r="D22" s="20"/>
      <c r="E22" s="21" t="str">
        <f aca="false">IF(C22="","← type your formula in the yellow cell",IF(ISNUMBER(C22),IF(ROUND(C22,4)=ROUND(J22,4),"✓ Correct! Well done","✗ Not yet: see the hint below"),IF(C22=J22,"✓ Correct! Well done","✗ Not yet: see the hint below")))</f>
        <v>← type your formula in the yellow cell</v>
      </c>
      <c r="F22" s="21"/>
      <c r="G22" s="21"/>
      <c r="H22" s="21"/>
      <c r="J22" s="22" t="n">
        <f aca="false">C14/SUM(C13:C15)</f>
        <v>0.446183953033268</v>
      </c>
    </row>
    <row r="23" customFormat="false" ht="30" hidden="false" customHeight="true" outlineLevel="0" collapsed="false">
      <c r="B23" s="14" t="s">
        <v>342</v>
      </c>
      <c r="C23" s="14"/>
      <c r="D23" s="14"/>
      <c r="E23" s="14"/>
      <c r="F23" s="14"/>
      <c r="G23" s="14"/>
      <c r="H23" s="14"/>
    </row>
  </sheetData>
  <mergeCells count="8">
    <mergeCell ref="B6:H6"/>
    <mergeCell ref="B7:H7"/>
    <mergeCell ref="B10:H10"/>
    <mergeCell ref="B18:H18"/>
    <mergeCell ref="B21:H21"/>
    <mergeCell ref="C22:D22"/>
    <mergeCell ref="E22:H22"/>
    <mergeCell ref="B23:H23"/>
  </mergeCells>
  <conditionalFormatting sqref="E22">
    <cfRule type="expression" priority="2" aboveAverage="0" equalAverage="0" bottom="0" percent="0" rank="0" text="" dxfId="0">
      <formula>LEFT(E22,1)="✓"</formula>
    </cfRule>
    <cfRule type="expression" priority="3" aboveAverage="0" equalAverage="0" bottom="0" percent="0" rank="0" text="" dxfId="1">
      <formula>LEFT(E22,1)="✗"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3"/>
    <col collapsed="false" customWidth="true" hidden="false" outlineLevel="0" max="9" min="9" style="0" width="15"/>
    <col collapsed="false" customWidth="true" hidden="true" outlineLevel="0" max="10" min="10" style="0" width="15"/>
    <col collapsed="false" customWidth="true" hidden="false" outlineLevel="0" max="11" min="11" style="0" width="15"/>
    <col collapsed="false" customWidth="true" hidden="false" outlineLevel="0" max="12" min="12" style="0" width="4"/>
  </cols>
  <sheetData>
    <row r="1" customFormat="false" ht="27.75" hidden="false" customHeight="true" outlineLevel="0" collapsed="false">
      <c r="B1" s="12" t="s">
        <v>343</v>
      </c>
    </row>
    <row r="2" customFormat="false" ht="15" hidden="false" customHeight="false" outlineLevel="0" collapsed="false">
      <c r="B2" s="2" t="s">
        <v>344</v>
      </c>
    </row>
    <row r="3" customFormat="false" ht="15" hidden="false" customHeight="false" outlineLevel="0" collapsed="false">
      <c r="B3" s="13" t="s">
        <v>60</v>
      </c>
    </row>
    <row r="5" customFormat="false" ht="15" hidden="false" customHeight="false" outlineLevel="0" collapsed="false">
      <c r="B5" s="4" t="s">
        <v>345</v>
      </c>
    </row>
    <row r="6" customFormat="false" ht="31.5" hidden="false" customHeight="true" outlineLevel="0" collapsed="false">
      <c r="B6" s="14" t="s">
        <v>346</v>
      </c>
      <c r="C6" s="14"/>
      <c r="D6" s="14"/>
      <c r="E6" s="14"/>
      <c r="F6" s="14"/>
      <c r="G6" s="14"/>
      <c r="H6" s="14"/>
    </row>
    <row r="8" customFormat="false" ht="15" hidden="false" customHeight="false" outlineLevel="0" collapsed="false">
      <c r="B8" s="4" t="s">
        <v>347</v>
      </c>
    </row>
    <row r="9" customFormat="false" ht="15" hidden="false" customHeight="false" outlineLevel="0" collapsed="false">
      <c r="B9" s="48" t="s">
        <v>348</v>
      </c>
      <c r="C9" s="30" t="n">
        <v>12000000</v>
      </c>
    </row>
    <row r="10" customFormat="false" ht="15" hidden="false" customHeight="false" outlineLevel="0" collapsed="false">
      <c r="B10" s="48" t="s">
        <v>145</v>
      </c>
      <c r="C10" s="31" t="n">
        <v>40</v>
      </c>
    </row>
    <row r="11" customFormat="false" ht="15" hidden="false" customHeight="false" outlineLevel="0" collapsed="false">
      <c r="B11" s="48" t="s">
        <v>146</v>
      </c>
      <c r="C11" s="31" t="n">
        <v>30</v>
      </c>
    </row>
    <row r="12" customFormat="false" ht="15" hidden="false" customHeight="false" outlineLevel="0" collapsed="false">
      <c r="B12" s="48" t="s">
        <v>349</v>
      </c>
      <c r="C12" s="31" t="n">
        <v>30</v>
      </c>
    </row>
    <row r="13" customFormat="false" ht="15" hidden="false" customHeight="false" outlineLevel="0" collapsed="false">
      <c r="B13" s="48" t="s">
        <v>350</v>
      </c>
      <c r="C13" s="51" t="n">
        <f aca="false">$C$10+$C$11+$C$12</f>
        <v>100</v>
      </c>
      <c r="D13" s="19" t="str">
        <f aca="false">IF(C13=100,"✓ adds up to 100","✗ must add up to 100")</f>
        <v>✓ adds up to 100</v>
      </c>
    </row>
    <row r="15" customFormat="false" ht="15" hidden="false" customHeight="false" outlineLevel="0" collapsed="false">
      <c r="B15" s="4" t="s">
        <v>351</v>
      </c>
    </row>
    <row r="16" customFormat="false" ht="24" hidden="false" customHeight="true" outlineLevel="0" collapsed="false">
      <c r="B16" s="6" t="s">
        <v>256</v>
      </c>
      <c r="C16" s="6" t="s">
        <v>70</v>
      </c>
      <c r="D16" s="6" t="s">
        <v>230</v>
      </c>
      <c r="E16" s="6" t="s">
        <v>231</v>
      </c>
      <c r="F16" s="6" t="s">
        <v>352</v>
      </c>
      <c r="G16" s="6" t="s">
        <v>353</v>
      </c>
      <c r="H16" s="6" t="s">
        <v>354</v>
      </c>
      <c r="I16" s="6" t="s">
        <v>355</v>
      </c>
      <c r="J16" s="6" t="s">
        <v>356</v>
      </c>
    </row>
    <row r="17" customFormat="false" ht="15" hidden="false" customHeight="false" outlineLevel="0" collapsed="false">
      <c r="B17" s="10" t="s">
        <v>172</v>
      </c>
      <c r="C17" s="43" t="n">
        <v>1.42</v>
      </c>
      <c r="D17" s="43" t="n">
        <v>1.6</v>
      </c>
      <c r="E17" s="43" t="n">
        <v>1.1</v>
      </c>
      <c r="F17" s="17" t="n">
        <f aca="false">IF(SUM($C$17:$C$21)=0,0,C17/SUM($C$17:$C$21))</f>
        <v>0.130155820348304</v>
      </c>
      <c r="G17" s="17" t="n">
        <f aca="false">IF(SUM($D$17:$D$21)=0,0,D17/SUM($D$17:$D$21))</f>
        <v>0.153846153846154</v>
      </c>
      <c r="H17" s="17" t="n">
        <f aca="false">IF(SUM($E$17:$E$21)=0,0,E17/SUM($E$17:$E$21))</f>
        <v>0.0973451327433628</v>
      </c>
      <c r="I17" s="52" t="n">
        <f aca="false">($C$10*F17+$C$11*G17+$C$12*H17)/100</f>
        <v>0.127419714116177</v>
      </c>
      <c r="J17" s="53" t="n">
        <f aca="false">$C$9*I17</f>
        <v>1529036.56939412</v>
      </c>
    </row>
    <row r="18" customFormat="false" ht="15" hidden="false" customHeight="false" outlineLevel="0" collapsed="false">
      <c r="B18" s="10" t="s">
        <v>173</v>
      </c>
      <c r="C18" s="43" t="n">
        <v>2.59</v>
      </c>
      <c r="D18" s="43" t="n">
        <v>2.4</v>
      </c>
      <c r="E18" s="43" t="n">
        <v>2.9</v>
      </c>
      <c r="F18" s="17" t="n">
        <f aca="false">IF(SUM($C$17:$C$21)=0,0,C18/SUM($C$17:$C$21))</f>
        <v>0.237396883593034</v>
      </c>
      <c r="G18" s="17" t="n">
        <f aca="false">IF(SUM($D$17:$D$21)=0,0,D18/SUM($D$17:$D$21))</f>
        <v>0.230769230769231</v>
      </c>
      <c r="H18" s="17" t="n">
        <f aca="false">IF(SUM($E$17:$E$21)=0,0,E18/SUM($E$17:$E$21))</f>
        <v>0.256637168141593</v>
      </c>
      <c r="I18" s="52" t="n">
        <f aca="false">($C$10*F18+$C$11*G18+$C$12*H18)/100</f>
        <v>0.241180673110461</v>
      </c>
      <c r="J18" s="53" t="n">
        <f aca="false">$C$9*I18</f>
        <v>2894168.07732553</v>
      </c>
    </row>
    <row r="19" customFormat="false" ht="15" hidden="false" customHeight="false" outlineLevel="0" collapsed="false">
      <c r="B19" s="10" t="s">
        <v>174</v>
      </c>
      <c r="C19" s="43" t="n">
        <v>2.46</v>
      </c>
      <c r="D19" s="43" t="n">
        <v>2.7</v>
      </c>
      <c r="E19" s="43" t="n">
        <v>2.2</v>
      </c>
      <c r="F19" s="17" t="n">
        <f aca="false">IF(SUM($C$17:$C$21)=0,0,C19/SUM($C$17:$C$21))</f>
        <v>0.225481209899175</v>
      </c>
      <c r="G19" s="17" t="n">
        <f aca="false">IF(SUM($D$17:$D$21)=0,0,D19/SUM($D$17:$D$21))</f>
        <v>0.259615384615385</v>
      </c>
      <c r="H19" s="17" t="n">
        <f aca="false">IF(SUM($E$17:$E$21)=0,0,E19/SUM($E$17:$E$21))</f>
        <v>0.194690265486726</v>
      </c>
      <c r="I19" s="52" t="n">
        <f aca="false">($C$10*F19+$C$11*G19+$C$12*H19)/100</f>
        <v>0.226484178990303</v>
      </c>
      <c r="J19" s="53" t="n">
        <f aca="false">$C$9*I19</f>
        <v>2717810.14788364</v>
      </c>
    </row>
    <row r="20" customFormat="false" ht="15" hidden="false" customHeight="false" outlineLevel="0" collapsed="false">
      <c r="B20" s="10" t="s">
        <v>175</v>
      </c>
      <c r="C20" s="43" t="n">
        <v>1.91</v>
      </c>
      <c r="D20" s="43" t="n">
        <v>1.5</v>
      </c>
      <c r="E20" s="43" t="n">
        <v>2.3</v>
      </c>
      <c r="F20" s="17" t="n">
        <f aca="false">IF(SUM($C$17:$C$21)=0,0,C20/SUM($C$17:$C$21))</f>
        <v>0.175068744271311</v>
      </c>
      <c r="G20" s="17" t="n">
        <f aca="false">IF(SUM($D$17:$D$21)=0,0,D20/SUM($D$17:$D$21))</f>
        <v>0.144230769230769</v>
      </c>
      <c r="H20" s="17" t="n">
        <f aca="false">IF(SUM($E$17:$E$21)=0,0,E20/SUM($E$17:$E$21))</f>
        <v>0.20353982300885</v>
      </c>
      <c r="I20" s="52" t="n">
        <f aca="false">($C$10*F20+$C$11*G20+$C$12*H20)/100</f>
        <v>0.17435867538041</v>
      </c>
      <c r="J20" s="53" t="n">
        <f aca="false">$C$9*I20</f>
        <v>2092304.10456492</v>
      </c>
    </row>
    <row r="21" customFormat="false" ht="15" hidden="false" customHeight="false" outlineLevel="0" collapsed="false">
      <c r="B21" s="10" t="s">
        <v>176</v>
      </c>
      <c r="C21" s="43" t="n">
        <v>2.53</v>
      </c>
      <c r="D21" s="43" t="n">
        <v>2.2</v>
      </c>
      <c r="E21" s="43" t="n">
        <v>2.8</v>
      </c>
      <c r="F21" s="17" t="n">
        <f aca="false">IF(SUM($C$17:$C$21)=0,0,C21/SUM($C$17:$C$21))</f>
        <v>0.231897341888176</v>
      </c>
      <c r="G21" s="17" t="n">
        <f aca="false">IF(SUM($D$17:$D$21)=0,0,D21/SUM($D$17:$D$21))</f>
        <v>0.211538461538462</v>
      </c>
      <c r="H21" s="17" t="n">
        <f aca="false">IF(SUM($E$17:$E$21)=0,0,E21/SUM($E$17:$E$21))</f>
        <v>0.247787610619469</v>
      </c>
      <c r="I21" s="52" t="n">
        <f aca="false">($C$10*F21+$C$11*G21+$C$12*H21)/100</f>
        <v>0.23055675840265</v>
      </c>
      <c r="J21" s="53" t="n">
        <f aca="false">$C$9*I21</f>
        <v>2766681.10083179</v>
      </c>
    </row>
    <row r="22" customFormat="false" ht="15" hidden="false" customHeight="false" outlineLevel="0" collapsed="false">
      <c r="B22" s="18" t="s">
        <v>357</v>
      </c>
      <c r="C22" s="54" t="n">
        <f aca="false">SUM(C17:C21)</f>
        <v>10.91</v>
      </c>
      <c r="D22" s="54" t="n">
        <f aca="false">SUM(D17:D21)</f>
        <v>10.4</v>
      </c>
      <c r="E22" s="54" t="n">
        <f aca="false">SUM(E17:E21)</f>
        <v>11.3</v>
      </c>
      <c r="F22" s="55" t="n">
        <f aca="false">SUM(F17:F21)</f>
        <v>1</v>
      </c>
      <c r="G22" s="55" t="n">
        <f aca="false">SUM(G17:G21)</f>
        <v>1</v>
      </c>
      <c r="H22" s="55" t="n">
        <f aca="false">SUM(H17:H21)</f>
        <v>1</v>
      </c>
      <c r="I22" s="56" t="n">
        <f aca="false">SUM(I17:I21)</f>
        <v>1</v>
      </c>
      <c r="J22" s="57" t="n">
        <f aca="false">SUM(J17:J21)</f>
        <v>12000000</v>
      </c>
    </row>
    <row r="24" customFormat="false" ht="30" hidden="false" customHeight="true" outlineLevel="0" collapsed="false">
      <c r="B24" s="35" t="s">
        <v>358</v>
      </c>
      <c r="C24" s="35"/>
      <c r="D24" s="35"/>
      <c r="E24" s="35"/>
      <c r="F24" s="35"/>
      <c r="G24" s="35"/>
      <c r="H24" s="35"/>
    </row>
    <row r="26" customFormat="false" ht="15" hidden="false" customHeight="false" outlineLevel="0" collapsed="false">
      <c r="B26" s="4" t="s">
        <v>359</v>
      </c>
    </row>
    <row r="27" customFormat="false" ht="24" hidden="false" customHeight="true" outlineLevel="0" collapsed="false">
      <c r="B27" s="6" t="s">
        <v>256</v>
      </c>
      <c r="C27" s="6" t="s">
        <v>198</v>
      </c>
    </row>
    <row r="28" customFormat="false" ht="15" hidden="false" customHeight="false" outlineLevel="0" collapsed="false">
      <c r="B28" s="10" t="s">
        <v>172</v>
      </c>
      <c r="C28" s="10" t="s">
        <v>360</v>
      </c>
    </row>
    <row r="29" customFormat="false" ht="15" hidden="false" customHeight="false" outlineLevel="0" collapsed="false">
      <c r="B29" s="10" t="s">
        <v>173</v>
      </c>
      <c r="C29" s="10" t="s">
        <v>360</v>
      </c>
    </row>
    <row r="30" customFormat="false" ht="15" hidden="false" customHeight="false" outlineLevel="0" collapsed="false">
      <c r="B30" s="10" t="s">
        <v>174</v>
      </c>
      <c r="C30" s="10" t="s">
        <v>360</v>
      </c>
    </row>
    <row r="31" customFormat="false" ht="15" hidden="false" customHeight="false" outlineLevel="0" collapsed="false">
      <c r="B31" s="10" t="s">
        <v>175</v>
      </c>
      <c r="C31" s="10" t="s">
        <v>201</v>
      </c>
    </row>
    <row r="32" customFormat="false" ht="15" hidden="false" customHeight="false" outlineLevel="0" collapsed="false">
      <c r="B32" s="10" t="s">
        <v>176</v>
      </c>
      <c r="C32" s="10" t="s">
        <v>201</v>
      </c>
    </row>
    <row r="34" customFormat="false" ht="24" hidden="false" customHeight="true" outlineLevel="0" collapsed="false">
      <c r="B34" s="6" t="s">
        <v>198</v>
      </c>
      <c r="C34" s="6" t="s">
        <v>356</v>
      </c>
    </row>
    <row r="35" customFormat="false" ht="15" hidden="false" customHeight="false" outlineLevel="0" collapsed="false">
      <c r="B35" s="10" t="s">
        <v>360</v>
      </c>
      <c r="C35" s="58" t="n">
        <f aca="false">SUMIF($C$28:$C$32,B35,$J$17:$J$21)</f>
        <v>7141014.79460329</v>
      </c>
    </row>
    <row r="36" customFormat="false" ht="15" hidden="false" customHeight="false" outlineLevel="0" collapsed="false">
      <c r="B36" s="10" t="s">
        <v>201</v>
      </c>
      <c r="C36" s="58" t="n">
        <f aca="false">SUMIF($C$28:$C$32,B36,$J$17:$J$21)</f>
        <v>4858985.20539671</v>
      </c>
    </row>
    <row r="38" customFormat="false" ht="15" hidden="false" customHeight="false" outlineLevel="0" collapsed="false">
      <c r="B38" s="4" t="s">
        <v>101</v>
      </c>
    </row>
    <row r="39" customFormat="false" ht="31.5" hidden="false" customHeight="true" outlineLevel="0" collapsed="false">
      <c r="B39" s="14" t="s">
        <v>361</v>
      </c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B40" s="19" t="s">
        <v>103</v>
      </c>
      <c r="C40" s="36"/>
      <c r="D40" s="36"/>
      <c r="E40" s="21" t="str">
        <f aca="false">IF(C40="","← type your formula in the yellow cell",IF(ISNUMBER(C40),IF(ROUND(C40,4)=ROUND(J40,4),"✓ Correct! Well done","✗ Not yet: see the hint below"),IF(C40=J40,"✓ Correct! Well done","✗ Not yet: see the hint below")))</f>
        <v>← type your formula in the yellow cell</v>
      </c>
      <c r="F40" s="21"/>
      <c r="G40" s="21"/>
      <c r="H40" s="21"/>
      <c r="J40" s="37" t="n">
        <f aca="false">$C$9*F17</f>
        <v>1561869.84417965</v>
      </c>
    </row>
    <row r="41" customFormat="false" ht="30" hidden="false" customHeight="true" outlineLevel="0" collapsed="false">
      <c r="B41" s="14" t="s">
        <v>362</v>
      </c>
      <c r="C41" s="14"/>
      <c r="D41" s="14"/>
      <c r="E41" s="14"/>
      <c r="F41" s="14"/>
      <c r="G41" s="14"/>
      <c r="H41" s="14"/>
    </row>
  </sheetData>
  <mergeCells count="6">
    <mergeCell ref="B6:H6"/>
    <mergeCell ref="B24:H24"/>
    <mergeCell ref="B39:H39"/>
    <mergeCell ref="C40:D40"/>
    <mergeCell ref="E40:H40"/>
    <mergeCell ref="B41:H41"/>
  </mergeCells>
  <conditionalFormatting sqref="E40">
    <cfRule type="expression" priority="2" aboveAverage="0" equalAverage="0" bottom="0" percent="0" rank="0" text="" dxfId="0">
      <formula>LEFT(E40,1)="✓"</formula>
    </cfRule>
    <cfRule type="expression" priority="3" aboveAverage="0" equalAverage="0" bottom="0" percent="0" rank="0" text="" dxfId="1">
      <formula>LEFT(E40,1)="✗"</formula>
    </cfRule>
  </conditionalFormatting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5C"/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70"/>
    <col collapsed="false" customWidth="true" hidden="false" outlineLevel="0" max="5" min="5" style="0" width="4"/>
  </cols>
  <sheetData>
    <row r="1" customFormat="false" ht="27.75" hidden="false" customHeight="true" outlineLevel="0" collapsed="false">
      <c r="B1" s="12" t="s">
        <v>363</v>
      </c>
    </row>
    <row r="2" customFormat="false" ht="15" hidden="false" customHeight="false" outlineLevel="0" collapsed="false">
      <c r="B2" s="2" t="s">
        <v>364</v>
      </c>
    </row>
    <row r="3" customFormat="false" ht="15" hidden="false" customHeight="false" outlineLevel="0" collapsed="false">
      <c r="B3" s="13" t="s">
        <v>60</v>
      </c>
    </row>
    <row r="5" customFormat="false" ht="24" hidden="false" customHeight="true" outlineLevel="0" collapsed="false">
      <c r="B5" s="6" t="s">
        <v>365</v>
      </c>
      <c r="C5" s="6" t="s">
        <v>366</v>
      </c>
      <c r="D5" s="6" t="s">
        <v>367</v>
      </c>
    </row>
    <row r="6" customFormat="false" ht="33.75" hidden="false" customHeight="true" outlineLevel="0" collapsed="false">
      <c r="B6" s="18" t="s">
        <v>368</v>
      </c>
      <c r="C6" s="59" t="s">
        <v>369</v>
      </c>
      <c r="D6" s="59" t="s">
        <v>370</v>
      </c>
    </row>
    <row r="7" customFormat="false" ht="33.75" hidden="false" customHeight="true" outlineLevel="0" collapsed="false">
      <c r="B7" s="18" t="s">
        <v>371</v>
      </c>
      <c r="C7" s="59" t="s">
        <v>372</v>
      </c>
      <c r="D7" s="59" t="s">
        <v>373</v>
      </c>
    </row>
    <row r="8" customFormat="false" ht="33.75" hidden="false" customHeight="true" outlineLevel="0" collapsed="false">
      <c r="B8" s="18" t="s">
        <v>374</v>
      </c>
      <c r="C8" s="59" t="s">
        <v>375</v>
      </c>
      <c r="D8" s="59" t="s">
        <v>376</v>
      </c>
    </row>
    <row r="9" customFormat="false" ht="33.75" hidden="false" customHeight="true" outlineLevel="0" collapsed="false">
      <c r="B9" s="18" t="s">
        <v>377</v>
      </c>
      <c r="C9" s="59" t="s">
        <v>378</v>
      </c>
      <c r="D9" s="59" t="s">
        <v>379</v>
      </c>
    </row>
    <row r="10" customFormat="false" ht="33.75" hidden="false" customHeight="true" outlineLevel="0" collapsed="false">
      <c r="B10" s="18" t="s">
        <v>380</v>
      </c>
      <c r="C10" s="59" t="s">
        <v>381</v>
      </c>
      <c r="D10" s="59" t="s">
        <v>382</v>
      </c>
    </row>
    <row r="11" customFormat="false" ht="33.75" hidden="false" customHeight="true" outlineLevel="0" collapsed="false">
      <c r="B11" s="18" t="s">
        <v>383</v>
      </c>
      <c r="C11" s="59" t="s">
        <v>384</v>
      </c>
      <c r="D11" s="59" t="s">
        <v>385</v>
      </c>
    </row>
    <row r="12" customFormat="false" ht="33.75" hidden="false" customHeight="true" outlineLevel="0" collapsed="false">
      <c r="B12" s="18" t="s">
        <v>386</v>
      </c>
      <c r="C12" s="59" t="s">
        <v>387</v>
      </c>
      <c r="D12" s="59" t="s">
        <v>388</v>
      </c>
    </row>
    <row r="13" customFormat="false" ht="33.75" hidden="false" customHeight="true" outlineLevel="0" collapsed="false">
      <c r="B13" s="18" t="s">
        <v>389</v>
      </c>
      <c r="C13" s="59" t="s">
        <v>390</v>
      </c>
      <c r="D13" s="59" t="s">
        <v>391</v>
      </c>
    </row>
    <row r="14" customFormat="false" ht="33.75" hidden="false" customHeight="true" outlineLevel="0" collapsed="false">
      <c r="B14" s="18" t="s">
        <v>392</v>
      </c>
      <c r="C14" s="59" t="s">
        <v>393</v>
      </c>
      <c r="D14" s="59" t="s">
        <v>394</v>
      </c>
    </row>
    <row r="15" customFormat="false" ht="33.75" hidden="false" customHeight="true" outlineLevel="0" collapsed="false">
      <c r="B15" s="18" t="s">
        <v>395</v>
      </c>
      <c r="C15" s="59" t="s">
        <v>396</v>
      </c>
      <c r="D15" s="59" t="s">
        <v>397</v>
      </c>
    </row>
    <row r="16" customFormat="false" ht="33.75" hidden="false" customHeight="true" outlineLevel="0" collapsed="false">
      <c r="B16" s="18" t="s">
        <v>398</v>
      </c>
      <c r="C16" s="59" t="s">
        <v>399</v>
      </c>
      <c r="D16" s="59" t="s">
        <v>400</v>
      </c>
    </row>
    <row r="18" customFormat="false" ht="15" hidden="false" customHeight="false" outlineLevel="0" collapsed="false">
      <c r="B18" s="4" t="s">
        <v>401</v>
      </c>
    </row>
    <row r="19" customFormat="false" ht="15" hidden="false" customHeight="false" outlineLevel="0" collapsed="false">
      <c r="B19" s="48" t="s">
        <v>402</v>
      </c>
      <c r="C19" s="44" t="n">
        <v>0.123</v>
      </c>
      <c r="D19" s="48" t="s">
        <v>403</v>
      </c>
    </row>
  </sheetData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51F"/>
    <pageSetUpPr fitToPage="false"/>
  </sheetPr>
  <dimension ref="B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50"/>
  </cols>
  <sheetData>
    <row r="1" customFormat="false" ht="27.75" hidden="false" customHeight="true" outlineLevel="0" collapsed="false">
      <c r="B1" s="12" t="s">
        <v>43</v>
      </c>
    </row>
    <row r="2" customFormat="false" ht="15" hidden="false" customHeight="false" outlineLevel="0" collapsed="false">
      <c r="B2" s="2" t="s">
        <v>404</v>
      </c>
    </row>
    <row r="3" customFormat="false" ht="15" hidden="false" customHeight="false" outlineLevel="0" collapsed="false">
      <c r="B3" s="13" t="s">
        <v>60</v>
      </c>
    </row>
    <row r="5" customFormat="false" ht="24" hidden="false" customHeight="true" outlineLevel="0" collapsed="false">
      <c r="B5" s="6" t="s">
        <v>405</v>
      </c>
      <c r="C5" s="6" t="s">
        <v>113</v>
      </c>
      <c r="D5" s="6" t="s">
        <v>111</v>
      </c>
      <c r="E5" s="6" t="s">
        <v>406</v>
      </c>
    </row>
    <row r="6" customFormat="false" ht="30" hidden="false" customHeight="true" outlineLevel="0" collapsed="false">
      <c r="B6" s="60" t="s">
        <v>16</v>
      </c>
      <c r="C6" s="25" t="s">
        <v>407</v>
      </c>
      <c r="D6" s="10" t="s">
        <v>408</v>
      </c>
      <c r="E6" s="61" t="s">
        <v>409</v>
      </c>
    </row>
    <row r="7" customFormat="false" ht="30" hidden="false" customHeight="true" outlineLevel="0" collapsed="false">
      <c r="B7" s="60" t="s">
        <v>20</v>
      </c>
      <c r="C7" s="25" t="s">
        <v>165</v>
      </c>
      <c r="D7" s="10" t="s">
        <v>410</v>
      </c>
      <c r="E7" s="61" t="s">
        <v>411</v>
      </c>
    </row>
    <row r="8" customFormat="false" ht="30" hidden="false" customHeight="true" outlineLevel="0" collapsed="false">
      <c r="B8" s="60" t="s">
        <v>22</v>
      </c>
      <c r="C8" s="25" t="s">
        <v>412</v>
      </c>
      <c r="D8" s="10" t="s">
        <v>413</v>
      </c>
      <c r="E8" s="61" t="s">
        <v>414</v>
      </c>
    </row>
    <row r="9" customFormat="false" ht="30" hidden="false" customHeight="true" outlineLevel="0" collapsed="false">
      <c r="B9" s="60" t="s">
        <v>25</v>
      </c>
      <c r="C9" s="25" t="s">
        <v>415</v>
      </c>
      <c r="D9" s="10" t="s">
        <v>416</v>
      </c>
      <c r="E9" s="61" t="s">
        <v>417</v>
      </c>
    </row>
    <row r="10" customFormat="false" ht="30" hidden="false" customHeight="true" outlineLevel="0" collapsed="false">
      <c r="B10" s="60" t="s">
        <v>27</v>
      </c>
      <c r="C10" s="25" t="s">
        <v>418</v>
      </c>
      <c r="D10" s="10" t="s">
        <v>419</v>
      </c>
      <c r="E10" s="61" t="s">
        <v>420</v>
      </c>
    </row>
    <row r="11" customFormat="false" ht="30" hidden="false" customHeight="true" outlineLevel="0" collapsed="false">
      <c r="B11" s="60" t="s">
        <v>29</v>
      </c>
      <c r="C11" s="25" t="s">
        <v>421</v>
      </c>
      <c r="D11" s="10" t="s">
        <v>422</v>
      </c>
      <c r="E11" s="61" t="s">
        <v>423</v>
      </c>
    </row>
    <row r="12" customFormat="false" ht="30" hidden="false" customHeight="true" outlineLevel="0" collapsed="false">
      <c r="B12" s="60" t="s">
        <v>424</v>
      </c>
      <c r="C12" s="25" t="s">
        <v>425</v>
      </c>
      <c r="D12" s="10" t="s">
        <v>426</v>
      </c>
      <c r="E12" s="61" t="s">
        <v>427</v>
      </c>
    </row>
    <row r="13" customFormat="false" ht="30" hidden="false" customHeight="true" outlineLevel="0" collapsed="false">
      <c r="B13" s="60" t="s">
        <v>428</v>
      </c>
      <c r="C13" s="25" t="s">
        <v>429</v>
      </c>
      <c r="D13" s="10" t="s">
        <v>430</v>
      </c>
      <c r="E13" s="61" t="s">
        <v>431</v>
      </c>
    </row>
    <row r="14" customFormat="false" ht="30" hidden="false" customHeight="true" outlineLevel="0" collapsed="false">
      <c r="B14" s="60" t="s">
        <v>432</v>
      </c>
      <c r="C14" s="25" t="s">
        <v>433</v>
      </c>
      <c r="D14" s="10" t="s">
        <v>434</v>
      </c>
      <c r="E14" s="61" t="s">
        <v>435</v>
      </c>
    </row>
    <row r="15" customFormat="false" ht="30" hidden="false" customHeight="true" outlineLevel="0" collapsed="false">
      <c r="B15" s="60" t="s">
        <v>436</v>
      </c>
      <c r="C15" s="25" t="s">
        <v>437</v>
      </c>
      <c r="D15" s="10" t="s">
        <v>438</v>
      </c>
      <c r="E15" s="61" t="s">
        <v>439</v>
      </c>
    </row>
    <row r="16" customFormat="false" ht="30" hidden="false" customHeight="true" outlineLevel="0" collapsed="false">
      <c r="B16" s="60" t="s">
        <v>355</v>
      </c>
      <c r="C16" s="25" t="s">
        <v>440</v>
      </c>
      <c r="D16" s="10" t="s">
        <v>441</v>
      </c>
      <c r="E16" s="61" t="s">
        <v>442</v>
      </c>
    </row>
    <row r="17" customFormat="false" ht="30" hidden="false" customHeight="true" outlineLevel="0" collapsed="false">
      <c r="B17" s="60" t="s">
        <v>443</v>
      </c>
      <c r="C17" s="25" t="s">
        <v>444</v>
      </c>
      <c r="D17" s="10" t="s">
        <v>445</v>
      </c>
      <c r="E17" s="61" t="s">
        <v>446</v>
      </c>
    </row>
    <row r="18" customFormat="false" ht="30" hidden="false" customHeight="true" outlineLevel="0" collapsed="false">
      <c r="B18" s="60" t="s">
        <v>447</v>
      </c>
      <c r="C18" s="25" t="s">
        <v>448</v>
      </c>
      <c r="D18" s="10" t="s">
        <v>449</v>
      </c>
      <c r="E18" s="61" t="s">
        <v>450</v>
      </c>
    </row>
  </sheetData>
  <hyperlinks>
    <hyperlink ref="B3" r:id="rId1" location="'Start'!A1" display="← Back to St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2026-10-08T15:16:16Z</dcterms:created>
  <dc:creator>openpyxl</dc:creator>
  <dc:description/>
  <dc:language>en-US</dc:language>
  <cp:lastModifiedBy/>
  <dcterms:modified xsi:type="dcterms:W3CDTF">2026-10-08T15:16:16Z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